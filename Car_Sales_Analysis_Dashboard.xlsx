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aji\Downloads\"/>
    </mc:Choice>
  </mc:AlternateContent>
  <xr:revisionPtr revIDLastSave="0" documentId="13_ncr:1_{2FC8C64A-9CDF-4687-A5BB-43B46CADA8D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Raw_Data" sheetId="2" r:id="rId2"/>
    <sheet name="Cleaned_Data" sheetId="3" r:id="rId3"/>
    <sheet name="Analysis" sheetId="4" r:id="rId4"/>
  </sheets>
  <definedNames>
    <definedName name="_xlnm._FilterDatabase" localSheetId="2" hidden="1">Cleaned_Data!$A$1:$P$158</definedName>
    <definedName name="_xlnm.Print_Area" localSheetId="0">Dashboard!$A$1:$P$57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4" l="1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I12" i="4"/>
  <c r="B12" i="4"/>
  <c r="I11" i="4"/>
  <c r="B11" i="4"/>
  <c r="I10" i="4"/>
  <c r="B10" i="4"/>
  <c r="I9" i="4"/>
  <c r="B9" i="4"/>
  <c r="I8" i="4"/>
  <c r="B8" i="4"/>
  <c r="R7" i="4"/>
  <c r="I7" i="4"/>
  <c r="B7" i="4"/>
  <c r="R6" i="4"/>
  <c r="K6" i="1" s="1"/>
  <c r="I6" i="4"/>
  <c r="B6" i="4"/>
  <c r="R5" i="4"/>
  <c r="I5" i="4"/>
  <c r="B5" i="4"/>
  <c r="R4" i="4"/>
  <c r="E6" i="1" s="1"/>
  <c r="O4" i="4"/>
  <c r="L4" i="4"/>
  <c r="I4" i="4"/>
  <c r="E4" i="4"/>
  <c r="B4" i="4"/>
  <c r="R3" i="4"/>
  <c r="O3" i="4"/>
  <c r="L3" i="4"/>
  <c r="I3" i="4"/>
  <c r="E3" i="4"/>
  <c r="B3" i="4"/>
  <c r="N6" i="1"/>
  <c r="H6" i="1"/>
  <c r="B6" i="1"/>
</calcChain>
</file>

<file path=xl/sharedStrings.xml><?xml version="1.0" encoding="utf-8"?>
<sst xmlns="http://schemas.openxmlformats.org/spreadsheetml/2006/main" count="1218" uniqueCount="358">
  <si>
    <t>CAR SALES ANALYSIS DASHBOARD</t>
  </si>
  <si>
    <t>Insights from 157 vehicle models across 30 manufacturers  |  Source: Car_sales.csv</t>
  </si>
  <si>
    <t>TOTAL SALES</t>
  </si>
  <si>
    <t>AVERAGE PRICE</t>
  </si>
  <si>
    <t>AVERAGE HORSEPOWER</t>
  </si>
  <si>
    <t>TOTAL MODELS</t>
  </si>
  <si>
    <t>TOTAL MANUFACTURERS</t>
  </si>
  <si>
    <t>Manufacturer</t>
  </si>
  <si>
    <t>Model</t>
  </si>
  <si>
    <t>Sales_in_thousands</t>
  </si>
  <si>
    <t>__year_resale_value</t>
  </si>
  <si>
    <t>Vehicle_type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</si>
  <si>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</si>
  <si>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</si>
  <si>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</si>
  <si>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</si>
  <si>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</si>
  <si>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</si>
  <si>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</si>
  <si>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</si>
  <si>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</si>
  <si>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</si>
  <si>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</si>
  <si>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Acura</t>
  </si>
  <si>
    <t>Integra</t>
  </si>
  <si>
    <t>Passenger</t>
  </si>
  <si>
    <t>2/2/2012</t>
  </si>
  <si>
    <t>TL</t>
  </si>
  <si>
    <t>6/3/2011</t>
  </si>
  <si>
    <t>CL</t>
  </si>
  <si>
    <t>1/4/2012</t>
  </si>
  <si>
    <t>RL</t>
  </si>
  <si>
    <t>3/10/2011</t>
  </si>
  <si>
    <t>Audi</t>
  </si>
  <si>
    <t>A4</t>
  </si>
  <si>
    <t>10/8/2011</t>
  </si>
  <si>
    <t>A6</t>
  </si>
  <si>
    <t>8/9/2011</t>
  </si>
  <si>
    <t>A8</t>
  </si>
  <si>
    <t>2/27/2012</t>
  </si>
  <si>
    <t>BMW</t>
  </si>
  <si>
    <t>323i</t>
  </si>
  <si>
    <t>6/28/2011</t>
  </si>
  <si>
    <t>328i</t>
  </si>
  <si>
    <t>1/29/2012</t>
  </si>
  <si>
    <t>528i</t>
  </si>
  <si>
    <t>4/4/2011</t>
  </si>
  <si>
    <t>Buick</t>
  </si>
  <si>
    <t>Century</t>
  </si>
  <si>
    <t>11/2/2011</t>
  </si>
  <si>
    <t>Regal</t>
  </si>
  <si>
    <t>9/3/2011</t>
  </si>
  <si>
    <t>Park Avenue</t>
  </si>
  <si>
    <t>3/23/2012</t>
  </si>
  <si>
    <t>LeSabre</t>
  </si>
  <si>
    <t>7/23/2011</t>
  </si>
  <si>
    <t>Cadillac</t>
  </si>
  <si>
    <t>DeVille</t>
  </si>
  <si>
    <t>2/23/2012</t>
  </si>
  <si>
    <t>Seville</t>
  </si>
  <si>
    <t>4/29/2011</t>
  </si>
  <si>
    <t>Eldorado</t>
  </si>
  <si>
    <t>11/27/2011</t>
  </si>
  <si>
    <t>Catera</t>
  </si>
  <si>
    <t>9/28/2011</t>
  </si>
  <si>
    <t>Escalade</t>
  </si>
  <si>
    <t>Car</t>
  </si>
  <si>
    <t>4/17/2012</t>
  </si>
  <si>
    <t>Chevrolet</t>
  </si>
  <si>
    <t>Cavalier</t>
  </si>
  <si>
    <t>8/17/2011</t>
  </si>
  <si>
    <t>Malibu</t>
  </si>
  <si>
    <t>3/19/2012</t>
  </si>
  <si>
    <t>Lumina</t>
  </si>
  <si>
    <t>5/24/2011</t>
  </si>
  <si>
    <t>Monte Carlo</t>
  </si>
  <si>
    <t>12/22/2011</t>
  </si>
  <si>
    <t>Camaro</t>
  </si>
  <si>
    <t>10/23/2011</t>
  </si>
  <si>
    <t>Corvette</t>
  </si>
  <si>
    <t>5/12/2012</t>
  </si>
  <si>
    <t>Prizm</t>
  </si>
  <si>
    <t>9/11/2011</t>
  </si>
  <si>
    <t>Metro</t>
  </si>
  <si>
    <t>4/13/2012</t>
  </si>
  <si>
    <t>Impala</t>
  </si>
  <si>
    <t>6/18/2011</t>
  </si>
  <si>
    <t>Chrysler</t>
  </si>
  <si>
    <t>Sebring Coupe</t>
  </si>
  <si>
    <t>1/16/2012</t>
  </si>
  <si>
    <t>Sebring Conv.</t>
  </si>
  <si>
    <t>11/17/2011</t>
  </si>
  <si>
    <t>Concorde</t>
  </si>
  <si>
    <t>6/6/2012</t>
  </si>
  <si>
    <t>Cirrus</t>
  </si>
  <si>
    <t>10/6/2011</t>
  </si>
  <si>
    <t>LHS</t>
  </si>
  <si>
    <t>5/8/2012</t>
  </si>
  <si>
    <t>Town &amp; Country</t>
  </si>
  <si>
    <t>7/13/2011</t>
  </si>
  <si>
    <t>300M</t>
  </si>
  <si>
    <t>2/10/2012</t>
  </si>
  <si>
    <t>Dodge</t>
  </si>
  <si>
    <t>Neon</t>
  </si>
  <si>
    <t>12/12/2011</t>
  </si>
  <si>
    <t>Avenger</t>
  </si>
  <si>
    <t>7/1/2012</t>
  </si>
  <si>
    <t>Stratus</t>
  </si>
  <si>
    <t>10/31/2011</t>
  </si>
  <si>
    <t>Intrepid</t>
  </si>
  <si>
    <t>6/2/2012</t>
  </si>
  <si>
    <t>Viper</t>
  </si>
  <si>
    <t>8/7/2011</t>
  </si>
  <si>
    <t>Ram Pickup</t>
  </si>
  <si>
    <t>3/6/2012</t>
  </si>
  <si>
    <t>Ram Wagon</t>
  </si>
  <si>
    <t>1/6/2012</t>
  </si>
  <si>
    <t>Ram Van</t>
  </si>
  <si>
    <t>7/26/2012</t>
  </si>
  <si>
    <t>Dakota</t>
  </si>
  <si>
    <t>11/25/2011</t>
  </si>
  <si>
    <t>Durango</t>
  </si>
  <si>
    <t>6/27/2012</t>
  </si>
  <si>
    <t>Caravan</t>
  </si>
  <si>
    <t>9/1/2011</t>
  </si>
  <si>
    <t>Ford</t>
  </si>
  <si>
    <t>Escort</t>
  </si>
  <si>
    <t>3/31/2012</t>
  </si>
  <si>
    <t>Mustang</t>
  </si>
  <si>
    <t>1/31/2012</t>
  </si>
  <si>
    <t>Contour</t>
  </si>
  <si>
    <t>8/20/2012</t>
  </si>
  <si>
    <t>Taurus</t>
  </si>
  <si>
    <t>12/20/2011</t>
  </si>
  <si>
    <t>Focus</t>
  </si>
  <si>
    <t>7/22/2012</t>
  </si>
  <si>
    <t>Crown Victoria</t>
  </si>
  <si>
    <t>9/26/2011</t>
  </si>
  <si>
    <t>Explorer</t>
  </si>
  <si>
    <t>4/25/2012</t>
  </si>
  <si>
    <t>Windstar</t>
  </si>
  <si>
    <t>2/25/2012</t>
  </si>
  <si>
    <t>Expedition</t>
  </si>
  <si>
    <t>9/14/2012</t>
  </si>
  <si>
    <t>Ranger</t>
  </si>
  <si>
    <t>1/14/2012</t>
  </si>
  <si>
    <t>F-Series</t>
  </si>
  <si>
    <t>8/16/2012</t>
  </si>
  <si>
    <t>Honda</t>
  </si>
  <si>
    <t>Civic</t>
  </si>
  <si>
    <t>10/21/2011</t>
  </si>
  <si>
    <t>Accord</t>
  </si>
  <si>
    <t>5/20/2012</t>
  </si>
  <si>
    <t>CR-V</t>
  </si>
  <si>
    <t>3/21/2012</t>
  </si>
  <si>
    <t>Passport</t>
  </si>
  <si>
    <t>10/9/2012</t>
  </si>
  <si>
    <t>Odyssey</t>
  </si>
  <si>
    <t>2/8/2012</t>
  </si>
  <si>
    <t>Hyundai</t>
  </si>
  <si>
    <t>Accent</t>
  </si>
  <si>
    <t>9/10/2012</t>
  </si>
  <si>
    <t>Elantra</t>
  </si>
  <si>
    <t>11/15/2011</t>
  </si>
  <si>
    <t>Sonata</t>
  </si>
  <si>
    <t>6/14/2012</t>
  </si>
  <si>
    <t>Infiniti</t>
  </si>
  <si>
    <t>I30</t>
  </si>
  <si>
    <t>4/15/2012</t>
  </si>
  <si>
    <t>Jaguar</t>
  </si>
  <si>
    <t>S-Type</t>
  </si>
  <si>
    <t>11/3/2012</t>
  </si>
  <si>
    <t>Jeep</t>
  </si>
  <si>
    <t>Wrangler</t>
  </si>
  <si>
    <t>3/4/2012</t>
  </si>
  <si>
    <t>Cherokee</t>
  </si>
  <si>
    <t>10/5/2012</t>
  </si>
  <si>
    <t>Grand Cherokee</t>
  </si>
  <si>
    <t>12/10/2011</t>
  </si>
  <si>
    <t>Lexus</t>
  </si>
  <si>
    <t>ES300</t>
  </si>
  <si>
    <t>7/9/2012</t>
  </si>
  <si>
    <t>GS300</t>
  </si>
  <si>
    <t>5/10/2012</t>
  </si>
  <si>
    <t>GS400</t>
  </si>
  <si>
    <t>11/28/2012</t>
  </si>
  <si>
    <t>LS400</t>
  </si>
  <si>
    <t>3/29/2012</t>
  </si>
  <si>
    <t>LX470</t>
  </si>
  <si>
    <t>10/30/2012</t>
  </si>
  <si>
    <t>RX300</t>
  </si>
  <si>
    <t>Lincoln</t>
  </si>
  <si>
    <t>Continental</t>
  </si>
  <si>
    <t>8/3/2012</t>
  </si>
  <si>
    <t>Town car</t>
  </si>
  <si>
    <t>6/4/2012</t>
  </si>
  <si>
    <t>Navigator</t>
  </si>
  <si>
    <t>12/23/2012</t>
  </si>
  <si>
    <t>Mitsubishi</t>
  </si>
  <si>
    <t>Mirage</t>
  </si>
  <si>
    <t>4/23/2012</t>
  </si>
  <si>
    <t>Eclipse</t>
  </si>
  <si>
    <t>11/24/2012</t>
  </si>
  <si>
    <t>Galant</t>
  </si>
  <si>
    <t>Diamante</t>
  </si>
  <si>
    <t>8/28/2012</t>
  </si>
  <si>
    <t>3000GT</t>
  </si>
  <si>
    <t>6/29/2012</t>
  </si>
  <si>
    <t>Montero</t>
  </si>
  <si>
    <t>1/17/2012</t>
  </si>
  <si>
    <t>Montero Sport</t>
  </si>
  <si>
    <t>5/18/2012</t>
  </si>
  <si>
    <t>Mercury</t>
  </si>
  <si>
    <t>Mystique</t>
  </si>
  <si>
    <t>12/19/2012</t>
  </si>
  <si>
    <t>Cougar</t>
  </si>
  <si>
    <t>Sable</t>
  </si>
  <si>
    <t>9/22/2012</t>
  </si>
  <si>
    <t>Grand Marquis</t>
  </si>
  <si>
    <t>7/24/2012</t>
  </si>
  <si>
    <t>Mountaineer</t>
  </si>
  <si>
    <t>2/13/2008</t>
  </si>
  <si>
    <t>Villager</t>
  </si>
  <si>
    <t>10/20/2009</t>
  </si>
  <si>
    <t>Mercedes-B</t>
  </si>
  <si>
    <t>C-Class</t>
  </si>
  <si>
    <t>4/24/2011</t>
  </si>
  <si>
    <t>E-Class</t>
  </si>
  <si>
    <t>7/12/2011</t>
  </si>
  <si>
    <t>S-Class</t>
  </si>
  <si>
    <t>6/13/2011</t>
  </si>
  <si>
    <t>SL-Class</t>
  </si>
  <si>
    <t>3/17/2011</t>
  </si>
  <si>
    <t>SLK</t>
  </si>
  <si>
    <t>1/16/2011</t>
  </si>
  <si>
    <t>SLK230</t>
  </si>
  <si>
    <t>8/6/2011</t>
  </si>
  <si>
    <t>CLK Coupe</t>
  </si>
  <si>
    <t>7/8/2011</t>
  </si>
  <si>
    <t>CL500</t>
  </si>
  <si>
    <t>4/11/2011</t>
  </si>
  <si>
    <t>M-Class</t>
  </si>
  <si>
    <t>2/10/2011</t>
  </si>
  <si>
    <t>Nissan</t>
  </si>
  <si>
    <t>Sentra</t>
  </si>
  <si>
    <t>8/31/2011</t>
  </si>
  <si>
    <t>Altima</t>
  </si>
  <si>
    <t>8/2/2011</t>
  </si>
  <si>
    <t>Maxima</t>
  </si>
  <si>
    <t>5/6/2011</t>
  </si>
  <si>
    <t>Quest</t>
  </si>
  <si>
    <t>3/7/2011</t>
  </si>
  <si>
    <t>Pathfinder</t>
  </si>
  <si>
    <t>9/25/2011</t>
  </si>
  <si>
    <t>Xterra</t>
  </si>
  <si>
    <t>1/24/2011</t>
  </si>
  <si>
    <t>Frontier</t>
  </si>
  <si>
    <t>8/27/2011</t>
  </si>
  <si>
    <t>Oldsmobile</t>
  </si>
  <si>
    <t>Cutlass</t>
  </si>
  <si>
    <t>5/31/2011</t>
  </si>
  <si>
    <t>Intrigue</t>
  </si>
  <si>
    <t>4/1/2011</t>
  </si>
  <si>
    <t>Alero</t>
  </si>
  <si>
    <t>Aurora</t>
  </si>
  <si>
    <t>2/18/2011</t>
  </si>
  <si>
    <t>Bravada</t>
  </si>
  <si>
    <t>9/21/2011</t>
  </si>
  <si>
    <t>Silhouette</t>
  </si>
  <si>
    <t>6/25/2011</t>
  </si>
  <si>
    <t>Plymouth</t>
  </si>
  <si>
    <t>4/26/2011</t>
  </si>
  <si>
    <t>Breeze</t>
  </si>
  <si>
    <t>11/14/2011</t>
  </si>
  <si>
    <t>Voyager</t>
  </si>
  <si>
    <t>Prowler</t>
  </si>
  <si>
    <t>Pontiac</t>
  </si>
  <si>
    <t>Sunfire</t>
  </si>
  <si>
    <t>1/25/2012</t>
  </si>
  <si>
    <t>Grand Am</t>
  </si>
  <si>
    <t>11/26/2012</t>
  </si>
  <si>
    <t>Firebird</t>
  </si>
  <si>
    <t>6/16/2012</t>
  </si>
  <si>
    <t>Grand Prix</t>
  </si>
  <si>
    <t>10/15/2012</t>
  </si>
  <si>
    <t>Bonneville</t>
  </si>
  <si>
    <t>5/18/2011</t>
  </si>
  <si>
    <t>Montana</t>
  </si>
  <si>
    <t>Porsche</t>
  </si>
  <si>
    <t>Boxter</t>
  </si>
  <si>
    <t>2/19/2012</t>
  </si>
  <si>
    <t>Carrera Coupe</t>
  </si>
  <si>
    <t>12/21/2012</t>
  </si>
  <si>
    <t>Carrera Cabrio</t>
  </si>
  <si>
    <t>7/11/2011</t>
  </si>
  <si>
    <t>Saab</t>
  </si>
  <si>
    <t>5-Sep</t>
  </si>
  <si>
    <t>11/9/2012</t>
  </si>
  <si>
    <t>3-Sep</t>
  </si>
  <si>
    <t>6/12/2011</t>
  </si>
  <si>
    <t>Saturn</t>
  </si>
  <si>
    <t>SL</t>
  </si>
  <si>
    <t>SC</t>
  </si>
  <si>
    <t>3/16/2011</t>
  </si>
  <si>
    <t>SW</t>
  </si>
  <si>
    <t>1/15/2011</t>
  </si>
  <si>
    <t>LW</t>
  </si>
  <si>
    <t>8/5/2011</t>
  </si>
  <si>
    <t>LS</t>
  </si>
  <si>
    <t>12/4/2012</t>
  </si>
  <si>
    <t>Subaru</t>
  </si>
  <si>
    <t>Outback</t>
  </si>
  <si>
    <t>7/7/2011</t>
  </si>
  <si>
    <t>Forester</t>
  </si>
  <si>
    <t>Toyota</t>
  </si>
  <si>
    <t>Corolla</t>
  </si>
  <si>
    <t>Camry</t>
  </si>
  <si>
    <t>Avalon</t>
  </si>
  <si>
    <t>Celica</t>
  </si>
  <si>
    <t>12/29/2012</t>
  </si>
  <si>
    <t>Tacoma</t>
  </si>
  <si>
    <t>8/1/2011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</si>
  <si>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</si>
  <si>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</si>
  <si>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</si>
  <si>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</si>
  <si>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</si>
  <si>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</si>
  <si>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</si>
  <si>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</si>
  <si>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</si>
  <si>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</si>
  <si>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</si>
  <si>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10/20/2011</t>
  </si>
  <si>
    <t>Volvo</t>
  </si>
  <si>
    <t>S40</t>
  </si>
  <si>
    <t>V40</t>
  </si>
  <si>
    <t>S70</t>
  </si>
  <si>
    <t>V70</t>
  </si>
  <si>
    <t>C70</t>
  </si>
  <si>
    <t>S80</t>
  </si>
  <si>
    <t>1. Total Sales by Manufacturer</t>
  </si>
  <si>
    <t>2. Average Price by Vehicle Type</t>
  </si>
  <si>
    <t>3. Top 10 Best-Selling Car Models</t>
  </si>
  <si>
    <t>4. Average Horsepower by Vehicle Type</t>
  </si>
  <si>
    <t>5. Total Sales by Vehicle Type</t>
  </si>
  <si>
    <t>KPI Support Calculations</t>
  </si>
  <si>
    <t>Total Sales ($000s)</t>
  </si>
  <si>
    <t>Vehicle Type</t>
  </si>
  <si>
    <t>Avg Price ($000s)</t>
  </si>
  <si>
    <t>Sales ($000s)</t>
  </si>
  <si>
    <t>Avg Horsepower</t>
  </si>
  <si>
    <t>KPI</t>
  </si>
  <si>
    <t>Value</t>
  </si>
  <si>
    <t>Average Price ($000s)</t>
  </si>
  <si>
    <t>Average Horsepower</t>
  </si>
  <si>
    <t>Total Number of Models</t>
  </si>
  <si>
    <t>Total Number of Manufacturers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</si>
</sst>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&quot; K units&quot;"/>
    <numFmt numFmtId="165" formatCode="\$#,##0.00&quot; K&quot;"/>
    <numFmt numFmtId="166" formatCode="#,##0.0&quot; HP&quot;"/>
    <numFmt numFmtId="167" formatCode="#,##0.0"/>
    <numFmt numFmtId="168" formatCode="#,##0.000"/>
    <numFmt numFmtId="169" formatCode="mm/dd/yyyy"/>
  </numFmts>
  <fonts count="11" x14ac:knownFonts="1">
    <font>
      <sz val="11"/>
      <color theme="1"/>
      <name val="Calibri"/>
      <family val="2"/>
      <charset val="1"/>
    </font>
    <font>
      <b/>
      <sz val="2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5A6478"/>
      <name val="Arial"/>
      <charset val="1"/>
    </font>
    <font>
      <b/>
      <sz val="20"/>
      <color rgb="FF1F2A44"/>
      <name val="Arial"/>
      <charset val="1"/>
    </font>
    <font>
      <sz val="10"/>
      <name val="Arial"/>
      <charset val="1"/>
    </font>
    <font>
      <i/>
      <sz val="8"/>
      <color rgb="FF7A6A00"/>
      <name val="Arial"/>
      <charset val="1"/>
    </font>
    <font>
      <b/>
      <sz val="11"/>
      <color rgb="FFFFFFFF"/>
      <name val="Arial"/>
      <charset val="1"/>
    </font>
    <font>
      <b/>
      <sz val="13"/>
      <color rgb="FF1F2A44"/>
      <name val="Arial"/>
      <charset val="1"/>
    </font>
    <font>
      <b/>
      <sz val="11"/>
      <color rgb="FFFFFFFF"/>
      <name val="Arial"/>
      <family val="2"/>
    </font>
    <font>
      <i/>
      <sz val="9"/>
      <color rgb="FF7A6A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4F7FC"/>
        <bgColor rgb="FFF7F9FC"/>
      </patternFill>
    </fill>
    <fill>
      <patternFill patternType="solid">
        <fgColor rgb="FF2E5AAC"/>
        <bgColor rgb="FF5A6478"/>
      </patternFill>
    </fill>
    <fill>
      <patternFill patternType="solid">
        <fgColor rgb="FFF7F9FC"/>
        <bgColor rgb="FFF4F7FC"/>
      </patternFill>
    </fill>
    <fill>
      <patternFill patternType="solid">
        <fgColor rgb="FFFFF2CC"/>
        <bgColor rgb="FFF7F9FC"/>
      </patternFill>
    </fill>
  </fills>
  <borders count="5">
    <border>
      <left/>
      <right/>
      <top/>
      <bottom/>
      <diagonal/>
    </border>
    <border>
      <left style="medium">
        <color rgb="FF2E5AAC"/>
      </left>
      <right style="medium">
        <color rgb="FF2E5AAC"/>
      </right>
      <top style="medium">
        <color rgb="FF2E5AAC"/>
      </top>
      <bottom/>
      <diagonal/>
    </border>
    <border>
      <left style="medium">
        <color rgb="FF2E5AAC"/>
      </left>
      <right style="medium">
        <color rgb="FF2E5AAC"/>
      </right>
      <top/>
      <bottom/>
      <diagonal/>
    </border>
    <border>
      <left style="medium">
        <color rgb="FF2E5AAC"/>
      </left>
      <right style="medium">
        <color rgb="FF2E5AAC"/>
      </right>
      <top/>
      <bottom style="medium">
        <color rgb="FF2E5AAC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/>
    <xf numFmtId="0" fontId="7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/>
    <xf numFmtId="0" fontId="5" fillId="0" borderId="4" xfId="0" applyFont="1" applyBorder="1"/>
    <xf numFmtId="167" fontId="5" fillId="5" borderId="4" xfId="0" applyNumberFormat="1" applyFont="1" applyFill="1" applyBorder="1"/>
    <xf numFmtId="168" fontId="5" fillId="5" borderId="4" xfId="0" applyNumberFormat="1" applyFont="1" applyFill="1" applyBorder="1"/>
    <xf numFmtId="3" fontId="5" fillId="5" borderId="4" xfId="0" applyNumberFormat="1" applyFont="1" applyFill="1" applyBorder="1"/>
    <xf numFmtId="169" fontId="5" fillId="5" borderId="4" xfId="0" applyNumberFormat="1" applyFont="1" applyFill="1" applyBorder="1"/>
    <xf numFmtId="167" fontId="5" fillId="0" borderId="4" xfId="0" applyNumberFormat="1" applyFont="1" applyBorder="1"/>
    <xf numFmtId="168" fontId="5" fillId="0" borderId="4" xfId="0" applyNumberFormat="1" applyFont="1" applyBorder="1"/>
    <xf numFmtId="3" fontId="5" fillId="0" borderId="4" xfId="0" applyNumberFormat="1" applyFont="1" applyBorder="1"/>
    <xf numFmtId="169" fontId="5" fillId="0" borderId="4" xfId="0" applyNumberFormat="1" applyFont="1" applyBorder="1"/>
    <xf numFmtId="167" fontId="5" fillId="6" borderId="4" xfId="0" applyNumberFormat="1" applyFont="1" applyFill="1" applyBorder="1"/>
    <xf numFmtId="168" fontId="5" fillId="6" borderId="4" xfId="0" applyNumberFormat="1" applyFont="1" applyFill="1" applyBorder="1"/>
    <xf numFmtId="3" fontId="5" fillId="6" borderId="4" xfId="0" applyNumberFormat="1" applyFont="1" applyFill="1" applyBorder="1"/>
    <xf numFmtId="0" fontId="8" fillId="0" borderId="0" xfId="0" applyFont="1"/>
    <xf numFmtId="0" fontId="7" fillId="4" borderId="4" xfId="0" applyFont="1" applyFill="1" applyBorder="1" applyAlignment="1">
      <alignment horizontal="center"/>
    </xf>
    <xf numFmtId="0" fontId="7" fillId="4" borderId="0" xfId="0" applyFont="1" applyFill="1"/>
    <xf numFmtId="0" fontId="5" fillId="5" borderId="0" xfId="0" applyFont="1" applyFill="1"/>
    <xf numFmtId="167" fontId="5" fillId="5" borderId="0" xfId="0" applyNumberFormat="1" applyFont="1" applyFill="1"/>
    <xf numFmtId="4" fontId="5" fillId="0" borderId="0" xfId="0" applyNumberFormat="1" applyFont="1"/>
    <xf numFmtId="167" fontId="5" fillId="0" borderId="0" xfId="0" applyNumberFormat="1" applyFont="1"/>
    <xf numFmtId="1" fontId="5" fillId="0" borderId="0" xfId="0" applyNumberFormat="1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top" wrapText="1"/>
    </xf>
    <xf numFmtId="0" fontId="0" fillId="3" borderId="3" xfId="0" applyFill="1" applyBorder="1"/>
    <xf numFmtId="164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0" fillId="0" borderId="0" xfId="0" applyFont="1"/>
    <xf numFmtId="0" fontId="9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A00"/>
      <rgbColor rgb="FF800080"/>
      <rgbColor rgb="FF008080"/>
      <rgbColor rgb="FFD9D9D9"/>
      <rgbColor rgb="FF878787"/>
      <rgbColor rgb="FF9999FF"/>
      <rgbColor rgb="FFC0504D"/>
      <rgbColor rgb="FFFFF2CC"/>
      <rgbColor rgb="FFF4F7FC"/>
      <rgbColor rgb="FF660066"/>
      <rgbColor rgb="FFFF8080"/>
      <rgbColor rgb="FF2E5AA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B8860B"/>
      <rgbColor rgb="FFFF6600"/>
      <rgbColor rgb="FF5A6478"/>
      <rgbColor rgb="FFA6A6A6"/>
      <rgbColor rgb="FF003366"/>
      <rgbColor rgb="FF2E7D32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Manufacturer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Total Sales ($000s)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Analysis!$A$3:$A$32</c:f>
              <c:strCache>
                <c:ptCount val="30"/>
                <c:pt idx="0">
                  <c:v>Ford</c:v>
                </c:pt>
                <c:pt idx="1">
                  <c:v>Dodge</c:v>
                </c:pt>
                <c:pt idx="2">
                  <c:v>Toyota</c:v>
                </c:pt>
                <c:pt idx="3">
                  <c:v>Honda</c:v>
                </c:pt>
                <c:pt idx="4">
                  <c:v>Chevrolet</c:v>
                </c:pt>
                <c:pt idx="5">
                  <c:v>Nissan</c:v>
                </c:pt>
                <c:pt idx="6">
                  <c:v>Pontiac</c:v>
                </c:pt>
                <c:pt idx="7">
                  <c:v>Jeep</c:v>
                </c:pt>
                <c:pt idx="8">
                  <c:v>Buick</c:v>
                </c:pt>
                <c:pt idx="9">
                  <c:v>Mercury</c:v>
                </c:pt>
                <c:pt idx="10">
                  <c:v>Volkswagen</c:v>
                </c:pt>
                <c:pt idx="11">
                  <c:v>Chrysler</c:v>
                </c:pt>
                <c:pt idx="12">
                  <c:v>Mitsubishi</c:v>
                </c:pt>
                <c:pt idx="13">
                  <c:v>Oldsmobile</c:v>
                </c:pt>
                <c:pt idx="14">
                  <c:v>Saturn</c:v>
                </c:pt>
                <c:pt idx="15">
                  <c:v>Hyundai</c:v>
                </c:pt>
                <c:pt idx="16">
                  <c:v>Mercedes-B</c:v>
                </c:pt>
                <c:pt idx="17">
                  <c:v>Cadillac</c:v>
                </c:pt>
                <c:pt idx="18">
                  <c:v>Lexus</c:v>
                </c:pt>
                <c:pt idx="19">
                  <c:v>Lincoln</c:v>
                </c:pt>
                <c:pt idx="20">
                  <c:v>Subaru</c:v>
                </c:pt>
                <c:pt idx="21">
                  <c:v>Acura</c:v>
                </c:pt>
                <c:pt idx="22">
                  <c:v>Volvo</c:v>
                </c:pt>
                <c:pt idx="23">
                  <c:v>Plymouth</c:v>
                </c:pt>
                <c:pt idx="24">
                  <c:v>BMW</c:v>
                </c:pt>
                <c:pt idx="25">
                  <c:v>Audi</c:v>
                </c:pt>
                <c:pt idx="26">
                  <c:v>Infiniti</c:v>
                </c:pt>
                <c:pt idx="27">
                  <c:v>Saab</c:v>
                </c:pt>
                <c:pt idx="28">
                  <c:v>Jaguar</c:v>
                </c:pt>
                <c:pt idx="29">
                  <c:v>Porsche</c:v>
                </c:pt>
              </c:strCache>
            </c:strRef>
          </c:cat>
          <c:val>
            <c:numRef>
              <c:f>Analysis!$B$3:$B$32</c:f>
              <c:numCache>
                <c:formatCode>#,##0.0</c:formatCode>
                <c:ptCount val="30"/>
                <c:pt idx="0">
                  <c:v>2022.6350000000002</c:v>
                </c:pt>
                <c:pt idx="1">
                  <c:v>910.149</c:v>
                </c:pt>
                <c:pt idx="2">
                  <c:v>740.20500000000015</c:v>
                </c:pt>
                <c:pt idx="3">
                  <c:v>592.67399999999998</c:v>
                </c:pt>
                <c:pt idx="4">
                  <c:v>554.36500000000001</c:v>
                </c:pt>
                <c:pt idx="5">
                  <c:v>399.63499999999999</c:v>
                </c:pt>
                <c:pt idx="6">
                  <c:v>370.53400000000005</c:v>
                </c:pt>
                <c:pt idx="7">
                  <c:v>293.15300000000002</c:v>
                </c:pt>
                <c:pt idx="8">
                  <c:v>242.01900000000001</c:v>
                </c:pt>
                <c:pt idx="9">
                  <c:v>237.99900000000002</c:v>
                </c:pt>
                <c:pt idx="10">
                  <c:v>209.21199999999999</c:v>
                </c:pt>
                <c:pt idx="11">
                  <c:v>201.721</c:v>
                </c:pt>
                <c:pt idx="12">
                  <c:v>180.89499999999998</c:v>
                </c:pt>
                <c:pt idx="13">
                  <c:v>178.98899999999998</c:v>
                </c:pt>
                <c:pt idx="14">
                  <c:v>168.85</c:v>
                </c:pt>
                <c:pt idx="15">
                  <c:v>137.32599999999999</c:v>
                </c:pt>
                <c:pt idx="16">
                  <c:v>117.125</c:v>
                </c:pt>
                <c:pt idx="17">
                  <c:v>112.178</c:v>
                </c:pt>
                <c:pt idx="18">
                  <c:v>106.84299999999999</c:v>
                </c:pt>
                <c:pt idx="19">
                  <c:v>85.634</c:v>
                </c:pt>
                <c:pt idx="20">
                  <c:v>80.134999999999991</c:v>
                </c:pt>
                <c:pt idx="21">
                  <c:v>79.004999999999995</c:v>
                </c:pt>
                <c:pt idx="22">
                  <c:v>75.740000000000009</c:v>
                </c:pt>
                <c:pt idx="23">
                  <c:v>64.001000000000005</c:v>
                </c:pt>
                <c:pt idx="24">
                  <c:v>46.505000000000003</c:v>
                </c:pt>
                <c:pt idx="25">
                  <c:v>40.557000000000002</c:v>
                </c:pt>
                <c:pt idx="26">
                  <c:v>23.713000000000001</c:v>
                </c:pt>
                <c:pt idx="27">
                  <c:v>21.306000000000001</c:v>
                </c:pt>
                <c:pt idx="28">
                  <c:v>15.467000000000001</c:v>
                </c:pt>
                <c:pt idx="29">
                  <c:v>12.127999999999998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C-4F04-A91B-2F90FF12A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61113011"/>
        <c:axId val="10178679"/>
      </c:barChart>
      <c:catAx>
        <c:axId val="6111301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78679"/>
        <c:crosses val="autoZero"/>
        <c:auto val="1"/>
        <c:lblAlgn val="ctr"/>
        <c:lblOffset val="100"/>
        <c:noMultiLvlLbl val="0"/>
      </c:catAx>
      <c:valAx>
        <c:axId val="101786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Manufacturer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1130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Price by Vehicle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Avg Price ($000s)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Analysis!$D$3:$D$4</c:f>
              <c:strCache>
                <c:ptCount val="2"/>
                <c:pt idx="0">
                  <c:v>Car</c:v>
                </c:pt>
                <c:pt idx="1">
                  <c:v>Passenger</c:v>
                </c:pt>
              </c:strCache>
            </c:strRef>
          </c:cat>
          <c:val>
            <c:numRef>
              <c:f>Analysis!$E$3:$E$4</c:f>
              <c:numCache>
                <c:formatCode>#,##0.00</c:formatCode>
                <c:ptCount val="2"/>
                <c:pt idx="0">
                  <c:v>26.265146341463417</c:v>
                </c:pt>
                <c:pt idx="1">
                  <c:v>27.719508620689648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7-4C5F-9531-9300F286C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22083"/>
        <c:axId val="89261110"/>
      </c:barChart>
      <c:catAx>
        <c:axId val="15822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Vehicle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61110"/>
        <c:crosses val="autoZero"/>
        <c:auto val="1"/>
        <c:lblAlgn val="ctr"/>
        <c:lblOffset val="100"/>
        <c:noMultiLvlLbl val="0"/>
      </c:catAx>
      <c:valAx>
        <c:axId val="892611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($000s)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220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Vehicle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Analysis!$O$2</c:f>
              <c:strCache>
                <c:ptCount val="1"/>
                <c:pt idx="0">
                  <c:v>Total Sales ($000s)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747-4606-9592-6E0DE9A8488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747-4606-9592-6E0DE9A8488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47-4606-9592-6E0DE9A8488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47-4606-9592-6E0DE9A848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Analysis!$N$3:$N$4</c:f>
              <c:strCache>
                <c:ptCount val="2"/>
                <c:pt idx="0">
                  <c:v>Passenger</c:v>
                </c:pt>
                <c:pt idx="1">
                  <c:v>Car</c:v>
                </c:pt>
              </c:strCache>
            </c:strRef>
          </c:cat>
          <c:val>
            <c:numRef>
              <c:f>Analysis!$O$3:$O$4</c:f>
              <c:numCache>
                <c:formatCode>#,##0.0</c:formatCode>
                <c:ptCount val="2"/>
                <c:pt idx="0">
                  <c:v>5015.1840000000002</c:v>
                </c:pt>
                <c:pt idx="1">
                  <c:v>3305.5140000000006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47-4606-9592-6E0DE9A84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Best-Selling Car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Analysis!$I$2</c:f>
              <c:strCache>
                <c:ptCount val="1"/>
                <c:pt idx="0">
                  <c:v>Sales ($000s)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Analysis!$H$3:$H$12</c:f>
              <c:strCache>
                <c:ptCount val="10"/>
                <c:pt idx="0">
                  <c:v>F-Series</c:v>
                </c:pt>
                <c:pt idx="1">
                  <c:v>Explorer</c:v>
                </c:pt>
                <c:pt idx="2">
                  <c:v>Camry</c:v>
                </c:pt>
                <c:pt idx="3">
                  <c:v>Taurus</c:v>
                </c:pt>
                <c:pt idx="4">
                  <c:v>Accord</c:v>
                </c:pt>
                <c:pt idx="5">
                  <c:v>Ram Pickup</c:v>
                </c:pt>
                <c:pt idx="6">
                  <c:v>Ranger</c:v>
                </c:pt>
                <c:pt idx="7">
                  <c:v>Civic</c:v>
                </c:pt>
                <c:pt idx="8">
                  <c:v>Caravan</c:v>
                </c:pt>
                <c:pt idx="9">
                  <c:v>Focus</c:v>
                </c:pt>
              </c:strCache>
            </c:strRef>
          </c:cat>
          <c:val>
            <c:numRef>
              <c:f>Analysis!$I$3:$I$12</c:f>
              <c:numCache>
                <c:formatCode>#,##0.0</c:formatCode>
                <c:ptCount val="10"/>
                <c:pt idx="0">
                  <c:v>540.56100000000004</c:v>
                </c:pt>
                <c:pt idx="1">
                  <c:v>276.74700000000001</c:v>
                </c:pt>
                <c:pt idx="2">
                  <c:v>247.994</c:v>
                </c:pt>
                <c:pt idx="3">
                  <c:v>245.815</c:v>
                </c:pt>
                <c:pt idx="4">
                  <c:v>230.90199999999999</c:v>
                </c:pt>
                <c:pt idx="5">
                  <c:v>227.06100000000001</c:v>
                </c:pt>
                <c:pt idx="6">
                  <c:v>220.65</c:v>
                </c:pt>
                <c:pt idx="7">
                  <c:v>199.685</c:v>
                </c:pt>
                <c:pt idx="8">
                  <c:v>181.749</c:v>
                </c:pt>
                <c:pt idx="9">
                  <c:v>175.67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3-474C-8389-94C6D3516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91755621"/>
        <c:axId val="25580520"/>
      </c:barChart>
      <c:catAx>
        <c:axId val="9175562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80520"/>
        <c:crosses val="autoZero"/>
        <c:auto val="1"/>
        <c:lblAlgn val="ctr"/>
        <c:lblOffset val="100"/>
        <c:noMultiLvlLbl val="0"/>
      </c:catAx>
      <c:valAx>
        <c:axId val="255805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556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Horsepower by Vehicle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Analysis!$L$2</c:f>
              <c:strCache>
                <c:ptCount val="1"/>
                <c:pt idx="0">
                  <c:v>Avg Horsepower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Analysis!$K$3:$K$4</c:f>
              <c:strCache>
                <c:ptCount val="2"/>
                <c:pt idx="0">
                  <c:v>Car</c:v>
                </c:pt>
                <c:pt idx="1">
                  <c:v>Passenger</c:v>
                </c:pt>
              </c:strCache>
            </c:strRef>
          </c:cat>
          <c:val>
            <c:numRef>
              <c:f>Analysis!$L$3:$L$4</c:f>
              <c:numCache>
                <c:formatCode>#,##0.0</c:formatCode>
                <c:ptCount val="2"/>
                <c:pt idx="0">
                  <c:v>186.36585365853659</c:v>
                </c:pt>
                <c:pt idx="1">
                  <c:v>185.79310344827587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D-42A8-BB60-1797031AD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1644"/>
        <c:axId val="92416949"/>
      </c:barChart>
      <c:catAx>
        <c:axId val="108416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Vehicle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416949"/>
        <c:crosses val="autoZero"/>
        <c:auto val="1"/>
        <c:lblAlgn val="ctr"/>
        <c:lblOffset val="100"/>
        <c:noMultiLvlLbl val="0"/>
      </c:catAx>
      <c:valAx>
        <c:axId val="92416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Horsepower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416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1025769</xdr:colOff>
      <xdr:row>29</xdr:row>
      <xdr:rowOff>149400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109905</xdr:colOff>
      <xdr:row>8</xdr:row>
      <xdr:rowOff>158749</xdr:rowOff>
    </xdr:from>
    <xdr:to>
      <xdr:col>11</xdr:col>
      <xdr:colOff>278024</xdr:colOff>
      <xdr:row>29</xdr:row>
      <xdr:rowOff>124976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439616</xdr:colOff>
      <xdr:row>8</xdr:row>
      <xdr:rowOff>134327</xdr:rowOff>
    </xdr:from>
    <xdr:to>
      <xdr:col>16</xdr:col>
      <xdr:colOff>61058</xdr:colOff>
      <xdr:row>29</xdr:row>
      <xdr:rowOff>100554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</xdr:colOff>
      <xdr:row>32</xdr:row>
      <xdr:rowOff>0</xdr:rowOff>
    </xdr:from>
    <xdr:to>
      <xdr:col>6</xdr:col>
      <xdr:colOff>1050193</xdr:colOff>
      <xdr:row>52</xdr:row>
      <xdr:rowOff>149400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134327</xdr:colOff>
      <xdr:row>32</xdr:row>
      <xdr:rowOff>12212</xdr:rowOff>
    </xdr:from>
    <xdr:to>
      <xdr:col>11</xdr:col>
      <xdr:colOff>302446</xdr:colOff>
      <xdr:row>52</xdr:row>
      <xdr:rowOff>161612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  <pageSetUpPr fitToPage="1"/>
  </sheetPr>
  <dimension ref="A1:P57"/>
  <sheetViews>
    <sheetView showGridLines="0" tabSelected="1" topLeftCell="A15" zoomScale="52" zoomScaleNormal="100" workbookViewId="0">
      <selection activeCell="O41" sqref="O41"/>
    </sheetView>
  </sheetViews>
  <sheetFormatPr defaultColWidth="8.6328125" defaultRowHeight="14.5" x14ac:dyDescent="0.35"/>
  <cols>
    <col min="1" max="1" width="3" customWidth="1"/>
    <col min="2" max="15" width="16" customWidth="1"/>
    <col min="16" max="16" width="3" customWidth="1"/>
  </cols>
  <sheetData>
    <row r="1" spans="1:16" ht="21.75" customHeight="1" x14ac:dyDescent="0.3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21.75" customHeight="1" x14ac:dyDescent="0.3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ht="18" customHeight="1" x14ac:dyDescent="0.35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5" spans="1:16" ht="18" customHeight="1" x14ac:dyDescent="0.35">
      <c r="B5" s="33" t="s">
        <v>2</v>
      </c>
      <c r="C5" s="33"/>
      <c r="E5" s="33" t="s">
        <v>3</v>
      </c>
      <c r="F5" s="33"/>
      <c r="H5" s="33" t="s">
        <v>4</v>
      </c>
      <c r="I5" s="33"/>
      <c r="K5" s="33" t="s">
        <v>5</v>
      </c>
      <c r="L5" s="33"/>
      <c r="N5" s="33" t="s">
        <v>6</v>
      </c>
      <c r="O5" s="33"/>
    </row>
    <row r="6" spans="1:16" ht="31.5" customHeight="1" x14ac:dyDescent="0.35">
      <c r="B6" s="27">
        <f>Analysis!$R$3</f>
        <v>8320.6980000000003</v>
      </c>
      <c r="C6" s="27"/>
      <c r="E6" s="28">
        <f>Analysis!$R$4</f>
        <v>27.339707006369402</v>
      </c>
      <c r="F6" s="28"/>
      <c r="H6" s="29">
        <f>Analysis!$R$5</f>
        <v>185.94267515923568</v>
      </c>
      <c r="I6" s="29"/>
      <c r="K6" s="30">
        <f>Analysis!$R$6</f>
        <v>157</v>
      </c>
      <c r="L6" s="30"/>
      <c r="N6" s="30">
        <f>Analysis!$R$7</f>
        <v>30</v>
      </c>
      <c r="O6" s="30"/>
    </row>
    <row r="7" spans="1:16" ht="6" customHeight="1" x14ac:dyDescent="0.35">
      <c r="B7" s="26"/>
      <c r="C7" s="26"/>
      <c r="E7" s="26"/>
      <c r="F7" s="26"/>
      <c r="H7" s="26"/>
      <c r="I7" s="26"/>
      <c r="K7" s="26"/>
      <c r="L7" s="26"/>
      <c r="N7" s="26"/>
      <c r="O7" s="26"/>
    </row>
    <row r="55" spans="2:15" ht="27.75" customHeight="1" x14ac:dyDescent="0.35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7" spans="2:15" ht="27.75" customHeight="1" x14ac:dyDescent="0.35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</sheetData>
  <mergeCells count="19">
    <mergeCell ref="A1:P2"/>
    <mergeCell ref="A3:P3"/>
    <mergeCell ref="B5:C5"/>
    <mergeCell ref="E5:F5"/>
    <mergeCell ref="H5:I5"/>
    <mergeCell ref="K5:L5"/>
    <mergeCell ref="N5:O5"/>
    <mergeCell ref="B6:C6"/>
    <mergeCell ref="E6:F6"/>
    <mergeCell ref="H6:I6"/>
    <mergeCell ref="K6:L6"/>
    <mergeCell ref="N6:O6"/>
    <mergeCell ref="B7:C7"/>
    <mergeCell ref="E7:F7"/>
    <mergeCell ref="H7:I7"/>
    <mergeCell ref="K7:L7"/>
    <mergeCell ref="N7:O7"/>
    <mergeCell ref="B55:O55"/>
    <mergeCell ref="B57:O57"/>
  </mergeCells>
  <pageMargins left="0.3" right="0.3" top="0.3" bottom="0.3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A6A6"/>
  </sheetPr>
  <dimension ref="A1:P158"/>
  <sheetViews>
    <sheetView zoomScaleNormal="100" workbookViewId="0">
      <pane ySplit="1" topLeftCell="A155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2" customWidth="1"/>
    <col min="3" max="3" width="20" customWidth="1"/>
    <col min="4" max="4" width="21" customWidth="1"/>
    <col min="5" max="5" width="14" customWidth="1"/>
    <col min="6" max="6" width="20" customWidth="1"/>
    <col min="7" max="7" width="13" customWidth="1"/>
    <col min="8" max="8" width="12.90625" customWidth="1"/>
    <col min="9" max="11" width="12" customWidth="1"/>
    <col min="12" max="12" width="13" customWidth="1"/>
    <col min="13" max="13" width="15" customWidth="1"/>
    <col min="14" max="14" width="17" customWidth="1"/>
    <col min="15" max="15" width="15" customWidth="1"/>
    <col min="16" max="16" width="19" customWidth="1"/>
  </cols>
  <sheetData>
    <row r="1" spans="1:16" ht="27.75" customHeight="1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</row>
    <row r="2" spans="1:16" ht="15" customHeight="1" x14ac:dyDescent="0.35">
      <c r="A2" s="3" t="s">
        <v>23</v>
      </c>
      <c r="B2" s="3" t="s">
        <v>24</v>
      </c>
      <c r="C2" s="3">
        <v>16.919</v>
      </c>
      <c r="D2" s="3">
        <v>16.36</v>
      </c>
      <c r="E2" s="3" t="s">
        <v>25</v>
      </c>
      <c r="F2" s="3">
        <v>21.5</v>
      </c>
      <c r="G2" s="3">
        <v>1.8</v>
      </c>
      <c r="H2" s="3">
        <v>140</v>
      </c>
      <c r="I2" s="3">
        <v>101.2</v>
      </c>
      <c r="J2" s="3">
        <v>67.3</v>
      </c>
      <c r="K2" s="3">
        <v>172.4</v>
      </c>
      <c r="L2" s="3">
        <v>2.6389999999999998</v>
      </c>
      <c r="M2" s="3">
        <v>13.2</v>
      </c>
      <c r="N2" s="3">
        <v>28</v>
      </c>
      <c r="O2" s="3" t="s">
        <v>26</v>
      </c>
      <c r="P2" s="3">
        <v>58.280149520000002</v>
      </c>
    </row>
    <row r="3" spans="1:16" ht="15" customHeight="1" x14ac:dyDescent="0.35">
      <c r="A3" s="4" t="s">
        <v>23</v>
      </c>
      <c r="B3" s="4" t="s">
        <v>27</v>
      </c>
      <c r="C3" s="4">
        <v>39.384</v>
      </c>
      <c r="D3" s="4">
        <v>19.875</v>
      </c>
      <c r="E3" s="4" t="s">
        <v>25</v>
      </c>
      <c r="F3" s="4">
        <v>28.4</v>
      </c>
      <c r="G3" s="4">
        <v>3.2</v>
      </c>
      <c r="H3" s="4">
        <v>225</v>
      </c>
      <c r="I3" s="4">
        <v>108.1</v>
      </c>
      <c r="J3" s="4">
        <v>70.3</v>
      </c>
      <c r="K3" s="4">
        <v>192.9</v>
      </c>
      <c r="L3" s="4">
        <v>3.5169999999999999</v>
      </c>
      <c r="M3" s="4">
        <v>17.2</v>
      </c>
      <c r="N3" s="4">
        <v>25</v>
      </c>
      <c r="O3" s="4" t="s">
        <v>28</v>
      </c>
      <c r="P3" s="4">
        <v>91.370777660000002</v>
      </c>
    </row>
    <row r="4" spans="1:16" ht="15" customHeight="1" x14ac:dyDescent="0.35">
      <c r="A4" s="3" t="s">
        <v>23</v>
      </c>
      <c r="B4" s="3" t="s">
        <v>29</v>
      </c>
      <c r="C4" s="3">
        <v>14.114000000000001</v>
      </c>
      <c r="D4" s="3">
        <v>18.225000000000001</v>
      </c>
      <c r="E4" s="3" t="s">
        <v>25</v>
      </c>
      <c r="F4" s="3"/>
      <c r="G4" s="3">
        <v>3.2</v>
      </c>
      <c r="H4" s="3">
        <v>225</v>
      </c>
      <c r="I4" s="3">
        <v>106.9</v>
      </c>
      <c r="J4" s="3">
        <v>70.599999999999994</v>
      </c>
      <c r="K4" s="3">
        <v>192</v>
      </c>
      <c r="L4" s="3">
        <v>3.47</v>
      </c>
      <c r="M4" s="3">
        <v>17.2</v>
      </c>
      <c r="N4" s="3">
        <v>26</v>
      </c>
      <c r="O4" s="3" t="s">
        <v>30</v>
      </c>
      <c r="P4" s="3"/>
    </row>
    <row r="5" spans="1:16" ht="15" customHeight="1" x14ac:dyDescent="0.35">
      <c r="A5" s="4" t="s">
        <v>23</v>
      </c>
      <c r="B5" s="4" t="s">
        <v>31</v>
      </c>
      <c r="C5" s="4">
        <v>8.5879999999999992</v>
      </c>
      <c r="D5" s="4">
        <v>29.725000000000001</v>
      </c>
      <c r="E5" s="4" t="s">
        <v>25</v>
      </c>
      <c r="F5" s="4">
        <v>42</v>
      </c>
      <c r="G5" s="4">
        <v>3.5</v>
      </c>
      <c r="H5" s="4">
        <v>210</v>
      </c>
      <c r="I5" s="4">
        <v>114.6</v>
      </c>
      <c r="J5" s="4">
        <v>71.400000000000006</v>
      </c>
      <c r="K5" s="4">
        <v>196.6</v>
      </c>
      <c r="L5" s="4">
        <v>3.85</v>
      </c>
      <c r="M5" s="4">
        <v>18</v>
      </c>
      <c r="N5" s="4">
        <v>22</v>
      </c>
      <c r="O5" s="4" t="s">
        <v>32</v>
      </c>
      <c r="P5" s="4">
        <v>91.389779329999996</v>
      </c>
    </row>
    <row r="6" spans="1:16" ht="15" customHeight="1" x14ac:dyDescent="0.35">
      <c r="A6" s="3" t="s">
        <v>33</v>
      </c>
      <c r="B6" s="3" t="s">
        <v>34</v>
      </c>
      <c r="C6" s="3">
        <v>20.396999999999998</v>
      </c>
      <c r="D6" s="3">
        <v>22.254999999999999</v>
      </c>
      <c r="E6" s="3" t="s">
        <v>25</v>
      </c>
      <c r="F6" s="3">
        <v>23.99</v>
      </c>
      <c r="G6" s="3">
        <v>1.8</v>
      </c>
      <c r="H6" s="3">
        <v>150</v>
      </c>
      <c r="I6" s="3">
        <v>102.6</v>
      </c>
      <c r="J6" s="3">
        <v>68.2</v>
      </c>
      <c r="K6" s="3">
        <v>178</v>
      </c>
      <c r="L6" s="3">
        <v>2.9980000000000002</v>
      </c>
      <c r="M6" s="3">
        <v>16.399999999999999</v>
      </c>
      <c r="N6" s="3">
        <v>27</v>
      </c>
      <c r="O6" s="3" t="s">
        <v>35</v>
      </c>
      <c r="P6" s="3">
        <v>62.777639200000003</v>
      </c>
    </row>
    <row r="7" spans="1:16" ht="15" customHeight="1" x14ac:dyDescent="0.35">
      <c r="A7" s="4" t="s">
        <v>33</v>
      </c>
      <c r="B7" s="4" t="s">
        <v>36</v>
      </c>
      <c r="C7" s="4">
        <v>18.78</v>
      </c>
      <c r="D7" s="4">
        <v>23.555</v>
      </c>
      <c r="E7" s="4" t="s">
        <v>25</v>
      </c>
      <c r="F7" s="4">
        <v>33.950000000000003</v>
      </c>
      <c r="G7" s="4">
        <v>2.8</v>
      </c>
      <c r="H7" s="4">
        <v>200</v>
      </c>
      <c r="I7" s="4">
        <v>108.7</v>
      </c>
      <c r="J7" s="4">
        <v>76.099999999999994</v>
      </c>
      <c r="K7" s="4">
        <v>192</v>
      </c>
      <c r="L7" s="4">
        <v>3.5609999999999999</v>
      </c>
      <c r="M7" s="4">
        <v>18.5</v>
      </c>
      <c r="N7" s="4">
        <v>22</v>
      </c>
      <c r="O7" s="4" t="s">
        <v>37</v>
      </c>
      <c r="P7" s="4">
        <v>84.565105020000004</v>
      </c>
    </row>
    <row r="8" spans="1:16" ht="15" customHeight="1" x14ac:dyDescent="0.35">
      <c r="A8" s="3" t="s">
        <v>33</v>
      </c>
      <c r="B8" s="3" t="s">
        <v>38</v>
      </c>
      <c r="C8" s="3">
        <v>1.38</v>
      </c>
      <c r="D8" s="3">
        <v>39</v>
      </c>
      <c r="E8" s="3" t="s">
        <v>25</v>
      </c>
      <c r="F8" s="3">
        <v>62</v>
      </c>
      <c r="G8" s="3">
        <v>4.2</v>
      </c>
      <c r="H8" s="3">
        <v>310</v>
      </c>
      <c r="I8" s="3">
        <v>113</v>
      </c>
      <c r="J8" s="3">
        <v>74</v>
      </c>
      <c r="K8" s="3">
        <v>198.2</v>
      </c>
      <c r="L8" s="3">
        <v>3.9020000000000001</v>
      </c>
      <c r="M8" s="3">
        <v>23.7</v>
      </c>
      <c r="N8" s="3">
        <v>21</v>
      </c>
      <c r="O8" s="3" t="s">
        <v>39</v>
      </c>
      <c r="P8" s="3">
        <v>134.65685819999999</v>
      </c>
    </row>
    <row r="9" spans="1:16" ht="15" customHeight="1" x14ac:dyDescent="0.35">
      <c r="A9" s="4" t="s">
        <v>40</v>
      </c>
      <c r="B9" s="4" t="s">
        <v>41</v>
      </c>
      <c r="C9" s="4">
        <v>19.747</v>
      </c>
      <c r="D9" s="4"/>
      <c r="E9" s="4" t="s">
        <v>25</v>
      </c>
      <c r="F9" s="4">
        <v>26.99</v>
      </c>
      <c r="G9" s="4">
        <v>2.5</v>
      </c>
      <c r="H9" s="4">
        <v>170</v>
      </c>
      <c r="I9" s="4">
        <v>107.3</v>
      </c>
      <c r="J9" s="4">
        <v>68.400000000000006</v>
      </c>
      <c r="K9" s="4">
        <v>176</v>
      </c>
      <c r="L9" s="4">
        <v>3.1789999999999998</v>
      </c>
      <c r="M9" s="4">
        <v>16.600000000000001</v>
      </c>
      <c r="N9" s="4">
        <v>26</v>
      </c>
      <c r="O9" s="4" t="s">
        <v>42</v>
      </c>
      <c r="P9" s="4">
        <v>71.191206710000003</v>
      </c>
    </row>
    <row r="10" spans="1:16" ht="15" customHeight="1" x14ac:dyDescent="0.35">
      <c r="A10" s="3" t="s">
        <v>40</v>
      </c>
      <c r="B10" s="3" t="s">
        <v>43</v>
      </c>
      <c r="C10" s="3">
        <v>9.2309999999999999</v>
      </c>
      <c r="D10" s="3">
        <v>28.675000000000001</v>
      </c>
      <c r="E10" s="3" t="s">
        <v>25</v>
      </c>
      <c r="F10" s="3">
        <v>33.4</v>
      </c>
      <c r="G10" s="3">
        <v>2.8</v>
      </c>
      <c r="H10" s="3">
        <v>193</v>
      </c>
      <c r="I10" s="3">
        <v>107.3</v>
      </c>
      <c r="J10" s="3">
        <v>68.5</v>
      </c>
      <c r="K10" s="3">
        <v>176</v>
      </c>
      <c r="L10" s="3">
        <v>3.1970000000000001</v>
      </c>
      <c r="M10" s="3">
        <v>16.600000000000001</v>
      </c>
      <c r="N10" s="3">
        <v>24</v>
      </c>
      <c r="O10" s="3" t="s">
        <v>44</v>
      </c>
      <c r="P10" s="3">
        <v>81.877068559999998</v>
      </c>
    </row>
    <row r="11" spans="1:16" ht="15" customHeight="1" x14ac:dyDescent="0.35">
      <c r="A11" s="4" t="s">
        <v>40</v>
      </c>
      <c r="B11" s="4" t="s">
        <v>45</v>
      </c>
      <c r="C11" s="4">
        <v>17.527000000000001</v>
      </c>
      <c r="D11" s="4">
        <v>36.125</v>
      </c>
      <c r="E11" s="4" t="s">
        <v>25</v>
      </c>
      <c r="F11" s="4">
        <v>38.9</v>
      </c>
      <c r="G11" s="4">
        <v>2.8</v>
      </c>
      <c r="H11" s="4">
        <v>193</v>
      </c>
      <c r="I11" s="4">
        <v>111.4</v>
      </c>
      <c r="J11" s="4">
        <v>70.900000000000006</v>
      </c>
      <c r="K11" s="4">
        <v>188</v>
      </c>
      <c r="L11" s="4">
        <v>3.472</v>
      </c>
      <c r="M11" s="4">
        <v>18.5</v>
      </c>
      <c r="N11" s="4">
        <v>25</v>
      </c>
      <c r="O11" s="4" t="s">
        <v>46</v>
      </c>
      <c r="P11" s="4">
        <v>83.998723799999993</v>
      </c>
    </row>
    <row r="12" spans="1:16" ht="15" customHeight="1" x14ac:dyDescent="0.35">
      <c r="A12" s="3" t="s">
        <v>47</v>
      </c>
      <c r="B12" s="3" t="s">
        <v>48</v>
      </c>
      <c r="C12" s="3">
        <v>91.561000000000007</v>
      </c>
      <c r="D12" s="3">
        <v>12.475</v>
      </c>
      <c r="E12" s="3" t="s">
        <v>25</v>
      </c>
      <c r="F12" s="3">
        <v>21.975000000000001</v>
      </c>
      <c r="G12" s="3">
        <v>3.1</v>
      </c>
      <c r="H12" s="3">
        <v>175</v>
      </c>
      <c r="I12" s="3">
        <v>109</v>
      </c>
      <c r="J12" s="3">
        <v>72.7</v>
      </c>
      <c r="K12" s="3">
        <v>194.6</v>
      </c>
      <c r="L12" s="3">
        <v>3.3679999999999999</v>
      </c>
      <c r="M12" s="3">
        <v>17.5</v>
      </c>
      <c r="N12" s="3">
        <v>25</v>
      </c>
      <c r="O12" s="3" t="s">
        <v>49</v>
      </c>
      <c r="P12" s="3">
        <v>71.181451319999994</v>
      </c>
    </row>
    <row r="13" spans="1:16" ht="15" customHeight="1" x14ac:dyDescent="0.35">
      <c r="A13" s="4" t="s">
        <v>47</v>
      </c>
      <c r="B13" s="4" t="s">
        <v>50</v>
      </c>
      <c r="C13" s="4">
        <v>39.35</v>
      </c>
      <c r="D13" s="4">
        <v>13.74</v>
      </c>
      <c r="E13" s="4" t="s">
        <v>25</v>
      </c>
      <c r="F13" s="4">
        <v>25.3</v>
      </c>
      <c r="G13" s="4">
        <v>3.8</v>
      </c>
      <c r="H13" s="4">
        <v>240</v>
      </c>
      <c r="I13" s="4">
        <v>109</v>
      </c>
      <c r="J13" s="4">
        <v>72.7</v>
      </c>
      <c r="K13" s="4">
        <v>196.2</v>
      </c>
      <c r="L13" s="4">
        <v>3.5430000000000001</v>
      </c>
      <c r="M13" s="4">
        <v>17.5</v>
      </c>
      <c r="N13" s="4">
        <v>23</v>
      </c>
      <c r="O13" s="4" t="s">
        <v>51</v>
      </c>
      <c r="P13" s="4">
        <v>95.636702529999994</v>
      </c>
    </row>
    <row r="14" spans="1:16" ht="15" customHeight="1" x14ac:dyDescent="0.35">
      <c r="A14" s="3" t="s">
        <v>47</v>
      </c>
      <c r="B14" s="3" t="s">
        <v>52</v>
      </c>
      <c r="C14" s="3">
        <v>27.850999999999999</v>
      </c>
      <c r="D14" s="3">
        <v>20.190000000000001</v>
      </c>
      <c r="E14" s="3" t="s">
        <v>25</v>
      </c>
      <c r="F14" s="3">
        <v>31.965</v>
      </c>
      <c r="G14" s="3">
        <v>3.8</v>
      </c>
      <c r="H14" s="3">
        <v>205</v>
      </c>
      <c r="I14" s="3">
        <v>113.8</v>
      </c>
      <c r="J14" s="3">
        <v>74.7</v>
      </c>
      <c r="K14" s="3">
        <v>206.8</v>
      </c>
      <c r="L14" s="3">
        <v>3.778</v>
      </c>
      <c r="M14" s="3">
        <v>18.5</v>
      </c>
      <c r="N14" s="3">
        <v>24</v>
      </c>
      <c r="O14" s="3" t="s">
        <v>53</v>
      </c>
      <c r="P14" s="3">
        <v>85.828408249999995</v>
      </c>
    </row>
    <row r="15" spans="1:16" ht="15" customHeight="1" x14ac:dyDescent="0.35">
      <c r="A15" s="4" t="s">
        <v>47</v>
      </c>
      <c r="B15" s="4" t="s">
        <v>54</v>
      </c>
      <c r="C15" s="4">
        <v>83.257000000000005</v>
      </c>
      <c r="D15" s="4">
        <v>13.36</v>
      </c>
      <c r="E15" s="4" t="s">
        <v>25</v>
      </c>
      <c r="F15" s="4">
        <v>27.885000000000002</v>
      </c>
      <c r="G15" s="4">
        <v>3.8</v>
      </c>
      <c r="H15" s="4">
        <v>205</v>
      </c>
      <c r="I15" s="4">
        <v>112.2</v>
      </c>
      <c r="J15" s="4">
        <v>73.5</v>
      </c>
      <c r="K15" s="4">
        <v>200</v>
      </c>
      <c r="L15" s="4">
        <v>3.5910000000000002</v>
      </c>
      <c r="M15" s="4">
        <v>17.5</v>
      </c>
      <c r="N15" s="4">
        <v>25</v>
      </c>
      <c r="O15" s="4" t="s">
        <v>55</v>
      </c>
      <c r="P15" s="4">
        <v>84.254525810000004</v>
      </c>
    </row>
    <row r="16" spans="1:16" ht="15" customHeight="1" x14ac:dyDescent="0.35">
      <c r="A16" s="3" t="s">
        <v>56</v>
      </c>
      <c r="B16" s="3" t="s">
        <v>57</v>
      </c>
      <c r="C16" s="3">
        <v>63.728999999999999</v>
      </c>
      <c r="D16" s="3">
        <v>22.524999999999999</v>
      </c>
      <c r="E16" s="3" t="s">
        <v>25</v>
      </c>
      <c r="F16" s="3">
        <v>39.895000000000003</v>
      </c>
      <c r="G16" s="3">
        <v>4.5999999999999996</v>
      </c>
      <c r="H16" s="3">
        <v>275</v>
      </c>
      <c r="I16" s="3">
        <v>115.3</v>
      </c>
      <c r="J16" s="3">
        <v>74.5</v>
      </c>
      <c r="K16" s="3">
        <v>207.2</v>
      </c>
      <c r="L16" s="3">
        <v>3.9780000000000002</v>
      </c>
      <c r="M16" s="3">
        <v>18.5</v>
      </c>
      <c r="N16" s="3">
        <v>22</v>
      </c>
      <c r="O16" s="3" t="s">
        <v>58</v>
      </c>
      <c r="P16" s="3">
        <v>113.85459760000001</v>
      </c>
    </row>
    <row r="17" spans="1:16" ht="15" customHeight="1" x14ac:dyDescent="0.35">
      <c r="A17" s="4" t="s">
        <v>56</v>
      </c>
      <c r="B17" s="4" t="s">
        <v>59</v>
      </c>
      <c r="C17" s="4">
        <v>15.943</v>
      </c>
      <c r="D17" s="4">
        <v>27.1</v>
      </c>
      <c r="E17" s="4" t="s">
        <v>25</v>
      </c>
      <c r="F17" s="4">
        <v>44.475000000000001</v>
      </c>
      <c r="G17" s="4">
        <v>4.5999999999999996</v>
      </c>
      <c r="H17" s="4">
        <v>275</v>
      </c>
      <c r="I17" s="4">
        <v>112.2</v>
      </c>
      <c r="J17" s="4">
        <v>75</v>
      </c>
      <c r="K17" s="4">
        <v>201</v>
      </c>
      <c r="L17" s="4"/>
      <c r="M17" s="4">
        <v>18.5</v>
      </c>
      <c r="N17" s="4">
        <v>22</v>
      </c>
      <c r="O17" s="4" t="s">
        <v>60</v>
      </c>
      <c r="P17" s="4">
        <v>115.6213578</v>
      </c>
    </row>
    <row r="18" spans="1:16" ht="15" customHeight="1" x14ac:dyDescent="0.35">
      <c r="A18" s="3" t="s">
        <v>56</v>
      </c>
      <c r="B18" s="3" t="s">
        <v>61</v>
      </c>
      <c r="C18" s="3">
        <v>6.5359999999999996</v>
      </c>
      <c r="D18" s="3">
        <v>25.725000000000001</v>
      </c>
      <c r="E18" s="3" t="s">
        <v>25</v>
      </c>
      <c r="F18" s="3">
        <v>39.664999999999999</v>
      </c>
      <c r="G18" s="3">
        <v>4.5999999999999996</v>
      </c>
      <c r="H18" s="3">
        <v>275</v>
      </c>
      <c r="I18" s="3">
        <v>108</v>
      </c>
      <c r="J18" s="3">
        <v>75.5</v>
      </c>
      <c r="K18" s="3">
        <v>200.6</v>
      </c>
      <c r="L18" s="3">
        <v>3.843</v>
      </c>
      <c r="M18" s="3">
        <v>19</v>
      </c>
      <c r="N18" s="3">
        <v>22</v>
      </c>
      <c r="O18" s="3" t="s">
        <v>62</v>
      </c>
      <c r="P18" s="3">
        <v>113.7658739</v>
      </c>
    </row>
    <row r="19" spans="1:16" ht="15" customHeight="1" x14ac:dyDescent="0.35">
      <c r="A19" s="4" t="s">
        <v>56</v>
      </c>
      <c r="B19" s="4" t="s">
        <v>63</v>
      </c>
      <c r="C19" s="4">
        <v>11.185</v>
      </c>
      <c r="D19" s="4">
        <v>18.225000000000001</v>
      </c>
      <c r="E19" s="4" t="s">
        <v>25</v>
      </c>
      <c r="F19" s="4">
        <v>31.01</v>
      </c>
      <c r="G19" s="4">
        <v>3</v>
      </c>
      <c r="H19" s="4">
        <v>200</v>
      </c>
      <c r="I19" s="4">
        <v>107.4</v>
      </c>
      <c r="J19" s="4">
        <v>70.3</v>
      </c>
      <c r="K19" s="4">
        <v>194.8</v>
      </c>
      <c r="L19" s="4">
        <v>3.77</v>
      </c>
      <c r="M19" s="4">
        <v>18</v>
      </c>
      <c r="N19" s="4">
        <v>22</v>
      </c>
      <c r="O19" s="4" t="s">
        <v>64</v>
      </c>
      <c r="P19" s="4">
        <v>83.483093580000002</v>
      </c>
    </row>
    <row r="20" spans="1:16" ht="15" customHeight="1" x14ac:dyDescent="0.35">
      <c r="A20" s="3" t="s">
        <v>56</v>
      </c>
      <c r="B20" s="3" t="s">
        <v>65</v>
      </c>
      <c r="C20" s="3">
        <v>14.785</v>
      </c>
      <c r="D20" s="3"/>
      <c r="E20" s="3" t="s">
        <v>66</v>
      </c>
      <c r="F20" s="3">
        <v>46.225000000000001</v>
      </c>
      <c r="G20" s="3">
        <v>5.7</v>
      </c>
      <c r="H20" s="3">
        <v>255</v>
      </c>
      <c r="I20" s="3">
        <v>117.5</v>
      </c>
      <c r="J20" s="3">
        <v>77</v>
      </c>
      <c r="K20" s="3">
        <v>201.2</v>
      </c>
      <c r="L20" s="3">
        <v>5.5720000000000001</v>
      </c>
      <c r="M20" s="3">
        <v>30</v>
      </c>
      <c r="N20" s="3">
        <v>15</v>
      </c>
      <c r="O20" s="3" t="s">
        <v>67</v>
      </c>
      <c r="P20" s="3">
        <v>109.5091165</v>
      </c>
    </row>
    <row r="21" spans="1:16" ht="15" customHeight="1" x14ac:dyDescent="0.35">
      <c r="A21" s="4" t="s">
        <v>68</v>
      </c>
      <c r="B21" s="4" t="s">
        <v>69</v>
      </c>
      <c r="C21" s="4">
        <v>145.51900000000001</v>
      </c>
      <c r="D21" s="4">
        <v>9.25</v>
      </c>
      <c r="E21" s="4" t="s">
        <v>25</v>
      </c>
      <c r="F21" s="4">
        <v>13.26</v>
      </c>
      <c r="G21" s="4">
        <v>2.2000000000000002</v>
      </c>
      <c r="H21" s="4">
        <v>115</v>
      </c>
      <c r="I21" s="4">
        <v>104.1</v>
      </c>
      <c r="J21" s="4">
        <v>67.900000000000006</v>
      </c>
      <c r="K21" s="4">
        <v>180.9</v>
      </c>
      <c r="L21" s="4">
        <v>2.6760000000000002</v>
      </c>
      <c r="M21" s="4">
        <v>14.3</v>
      </c>
      <c r="N21" s="4">
        <v>27</v>
      </c>
      <c r="O21" s="4" t="s">
        <v>70</v>
      </c>
      <c r="P21" s="4">
        <v>46.363347470000001</v>
      </c>
    </row>
    <row r="22" spans="1:16" ht="15" customHeight="1" x14ac:dyDescent="0.35">
      <c r="A22" s="3" t="s">
        <v>68</v>
      </c>
      <c r="B22" s="3" t="s">
        <v>71</v>
      </c>
      <c r="C22" s="3">
        <v>135.126</v>
      </c>
      <c r="D22" s="3">
        <v>11.225</v>
      </c>
      <c r="E22" s="3" t="s">
        <v>25</v>
      </c>
      <c r="F22" s="3">
        <v>16.535</v>
      </c>
      <c r="G22" s="3">
        <v>3.1</v>
      </c>
      <c r="H22" s="3">
        <v>170</v>
      </c>
      <c r="I22" s="3">
        <v>107</v>
      </c>
      <c r="J22" s="3">
        <v>69.400000000000006</v>
      </c>
      <c r="K22" s="3">
        <v>190.4</v>
      </c>
      <c r="L22" s="3">
        <v>3.0510000000000002</v>
      </c>
      <c r="M22" s="3">
        <v>15</v>
      </c>
      <c r="N22" s="3">
        <v>25</v>
      </c>
      <c r="O22" s="3" t="s">
        <v>72</v>
      </c>
      <c r="P22" s="3">
        <v>67.314462160000005</v>
      </c>
    </row>
    <row r="23" spans="1:16" ht="15" customHeight="1" x14ac:dyDescent="0.35">
      <c r="A23" s="4" t="s">
        <v>68</v>
      </c>
      <c r="B23" s="4" t="s">
        <v>73</v>
      </c>
      <c r="C23" s="4">
        <v>24.629000000000001</v>
      </c>
      <c r="D23" s="4">
        <v>10.31</v>
      </c>
      <c r="E23" s="4" t="s">
        <v>25</v>
      </c>
      <c r="F23" s="4">
        <v>18.89</v>
      </c>
      <c r="G23" s="4">
        <v>3.1</v>
      </c>
      <c r="H23" s="4">
        <v>175</v>
      </c>
      <c r="I23" s="4">
        <v>107.5</v>
      </c>
      <c r="J23" s="4">
        <v>72.5</v>
      </c>
      <c r="K23" s="4">
        <v>200.9</v>
      </c>
      <c r="L23" s="4">
        <v>3.33</v>
      </c>
      <c r="M23" s="4">
        <v>16.600000000000001</v>
      </c>
      <c r="N23" s="4">
        <v>25</v>
      </c>
      <c r="O23" s="4" t="s">
        <v>74</v>
      </c>
      <c r="P23" s="4">
        <v>69.991395600000004</v>
      </c>
    </row>
    <row r="24" spans="1:16" ht="15" customHeight="1" x14ac:dyDescent="0.35">
      <c r="A24" s="3" t="s">
        <v>68</v>
      </c>
      <c r="B24" s="3" t="s">
        <v>75</v>
      </c>
      <c r="C24" s="3">
        <v>42.593000000000004</v>
      </c>
      <c r="D24" s="3">
        <v>11.525</v>
      </c>
      <c r="E24" s="3" t="s">
        <v>25</v>
      </c>
      <c r="F24" s="3">
        <v>19.39</v>
      </c>
      <c r="G24" s="3">
        <v>3.4</v>
      </c>
      <c r="H24" s="3">
        <v>180</v>
      </c>
      <c r="I24" s="3">
        <v>110.5</v>
      </c>
      <c r="J24" s="3">
        <v>72.7</v>
      </c>
      <c r="K24" s="3">
        <v>197.9</v>
      </c>
      <c r="L24" s="3">
        <v>3.34</v>
      </c>
      <c r="M24" s="3">
        <v>17</v>
      </c>
      <c r="N24" s="3">
        <v>27</v>
      </c>
      <c r="O24" s="3" t="s">
        <v>76</v>
      </c>
      <c r="P24" s="3">
        <v>72.030917189999997</v>
      </c>
    </row>
    <row r="25" spans="1:16" ht="15" customHeight="1" x14ac:dyDescent="0.35">
      <c r="A25" s="4" t="s">
        <v>68</v>
      </c>
      <c r="B25" s="4" t="s">
        <v>77</v>
      </c>
      <c r="C25" s="4">
        <v>26.402000000000001</v>
      </c>
      <c r="D25" s="4">
        <v>13.025</v>
      </c>
      <c r="E25" s="4" t="s">
        <v>25</v>
      </c>
      <c r="F25" s="4">
        <v>24.34</v>
      </c>
      <c r="G25" s="4">
        <v>3.8</v>
      </c>
      <c r="H25" s="4">
        <v>200</v>
      </c>
      <c r="I25" s="4">
        <v>101.1</v>
      </c>
      <c r="J25" s="4">
        <v>74.099999999999994</v>
      </c>
      <c r="K25" s="4">
        <v>193.2</v>
      </c>
      <c r="L25" s="4">
        <v>3.5</v>
      </c>
      <c r="M25" s="4">
        <v>16.8</v>
      </c>
      <c r="N25" s="4">
        <v>25</v>
      </c>
      <c r="O25" s="4" t="s">
        <v>78</v>
      </c>
      <c r="P25" s="4">
        <v>81.118543329999994</v>
      </c>
    </row>
    <row r="26" spans="1:16" ht="15" customHeight="1" x14ac:dyDescent="0.35">
      <c r="A26" s="3" t="s">
        <v>68</v>
      </c>
      <c r="B26" s="3" t="s">
        <v>79</v>
      </c>
      <c r="C26" s="3">
        <v>17.946999999999999</v>
      </c>
      <c r="D26" s="3">
        <v>36.225000000000001</v>
      </c>
      <c r="E26" s="3" t="s">
        <v>25</v>
      </c>
      <c r="F26" s="3">
        <v>45.704999999999998</v>
      </c>
      <c r="G26" s="3">
        <v>5.7</v>
      </c>
      <c r="H26" s="3">
        <v>345</v>
      </c>
      <c r="I26" s="3">
        <v>104.5</v>
      </c>
      <c r="J26" s="3">
        <v>73.599999999999994</v>
      </c>
      <c r="K26" s="3">
        <v>179.7</v>
      </c>
      <c r="L26" s="3">
        <v>3.21</v>
      </c>
      <c r="M26" s="3">
        <v>19.100000000000001</v>
      </c>
      <c r="N26" s="3">
        <v>22</v>
      </c>
      <c r="O26" s="3" t="s">
        <v>80</v>
      </c>
      <c r="P26" s="3">
        <v>141.14115000000001</v>
      </c>
    </row>
    <row r="27" spans="1:16" ht="15" customHeight="1" x14ac:dyDescent="0.35">
      <c r="A27" s="4" t="s">
        <v>68</v>
      </c>
      <c r="B27" s="4" t="s">
        <v>81</v>
      </c>
      <c r="C27" s="4">
        <v>32.298999999999999</v>
      </c>
      <c r="D27" s="4">
        <v>9.125</v>
      </c>
      <c r="E27" s="4" t="s">
        <v>25</v>
      </c>
      <c r="F27" s="4">
        <v>13.96</v>
      </c>
      <c r="G27" s="4">
        <v>1.8</v>
      </c>
      <c r="H27" s="4">
        <v>120</v>
      </c>
      <c r="I27" s="4">
        <v>97.1</v>
      </c>
      <c r="J27" s="4">
        <v>66.7</v>
      </c>
      <c r="K27" s="4">
        <v>174.3</v>
      </c>
      <c r="L27" s="4">
        <v>2.3980000000000001</v>
      </c>
      <c r="M27" s="4">
        <v>13.2</v>
      </c>
      <c r="N27" s="4">
        <v>33</v>
      </c>
      <c r="O27" s="4" t="s">
        <v>82</v>
      </c>
      <c r="P27" s="4">
        <v>48.297636099999998</v>
      </c>
    </row>
    <row r="28" spans="1:16" ht="15" customHeight="1" x14ac:dyDescent="0.35">
      <c r="A28" s="3" t="s">
        <v>68</v>
      </c>
      <c r="B28" s="3" t="s">
        <v>83</v>
      </c>
      <c r="C28" s="3">
        <v>21.855</v>
      </c>
      <c r="D28" s="3">
        <v>5.16</v>
      </c>
      <c r="E28" s="3" t="s">
        <v>25</v>
      </c>
      <c r="F28" s="3">
        <v>9.2349999999999994</v>
      </c>
      <c r="G28" s="3">
        <v>1</v>
      </c>
      <c r="H28" s="3">
        <v>55</v>
      </c>
      <c r="I28" s="3">
        <v>93.1</v>
      </c>
      <c r="J28" s="3">
        <v>62.6</v>
      </c>
      <c r="K28" s="3">
        <v>149.4</v>
      </c>
      <c r="L28" s="3">
        <v>1.895</v>
      </c>
      <c r="M28" s="3">
        <v>10.3</v>
      </c>
      <c r="N28" s="3">
        <v>45</v>
      </c>
      <c r="O28" s="3" t="s">
        <v>84</v>
      </c>
      <c r="P28" s="3">
        <v>23.276272330000001</v>
      </c>
    </row>
    <row r="29" spans="1:16" ht="15" customHeight="1" x14ac:dyDescent="0.35">
      <c r="A29" s="4" t="s">
        <v>68</v>
      </c>
      <c r="B29" s="4" t="s">
        <v>85</v>
      </c>
      <c r="C29" s="4">
        <v>107.995</v>
      </c>
      <c r="D29" s="4"/>
      <c r="E29" s="4" t="s">
        <v>25</v>
      </c>
      <c r="F29" s="4">
        <v>18.89</v>
      </c>
      <c r="G29" s="4">
        <v>3.4</v>
      </c>
      <c r="H29" s="4">
        <v>180</v>
      </c>
      <c r="I29" s="4">
        <v>110.5</v>
      </c>
      <c r="J29" s="4">
        <v>73</v>
      </c>
      <c r="K29" s="4">
        <v>200</v>
      </c>
      <c r="L29" s="4">
        <v>3.3889999999999998</v>
      </c>
      <c r="M29" s="4">
        <v>17</v>
      </c>
      <c r="N29" s="4">
        <v>27</v>
      </c>
      <c r="O29" s="4" t="s">
        <v>86</v>
      </c>
      <c r="P29" s="4">
        <v>71.838039440000003</v>
      </c>
    </row>
    <row r="30" spans="1:16" ht="15" customHeight="1" x14ac:dyDescent="0.35">
      <c r="A30" s="3" t="s">
        <v>87</v>
      </c>
      <c r="B30" s="3" t="s">
        <v>88</v>
      </c>
      <c r="C30" s="3">
        <v>7.8540000000000001</v>
      </c>
      <c r="D30" s="3">
        <v>12.36</v>
      </c>
      <c r="E30" s="3" t="s">
        <v>25</v>
      </c>
      <c r="F30" s="3">
        <v>19.84</v>
      </c>
      <c r="G30" s="3">
        <v>2.5</v>
      </c>
      <c r="H30" s="3">
        <v>163</v>
      </c>
      <c r="I30" s="3">
        <v>103.7</v>
      </c>
      <c r="J30" s="3">
        <v>69.7</v>
      </c>
      <c r="K30" s="3">
        <v>190.9</v>
      </c>
      <c r="L30" s="3">
        <v>2.9670000000000001</v>
      </c>
      <c r="M30" s="3">
        <v>15.9</v>
      </c>
      <c r="N30" s="3">
        <v>24</v>
      </c>
      <c r="O30" s="3" t="s">
        <v>89</v>
      </c>
      <c r="P30" s="3">
        <v>65.957183959999995</v>
      </c>
    </row>
    <row r="31" spans="1:16" ht="15" customHeight="1" x14ac:dyDescent="0.35">
      <c r="A31" s="4" t="s">
        <v>87</v>
      </c>
      <c r="B31" s="4" t="s">
        <v>90</v>
      </c>
      <c r="C31" s="4">
        <v>32.774999999999999</v>
      </c>
      <c r="D31" s="4">
        <v>14.18</v>
      </c>
      <c r="E31" s="4" t="s">
        <v>25</v>
      </c>
      <c r="F31" s="4">
        <v>24.495000000000001</v>
      </c>
      <c r="G31" s="4">
        <v>2.5</v>
      </c>
      <c r="H31" s="4">
        <v>168</v>
      </c>
      <c r="I31" s="4">
        <v>106</v>
      </c>
      <c r="J31" s="4">
        <v>69.2</v>
      </c>
      <c r="K31" s="4">
        <v>193</v>
      </c>
      <c r="L31" s="4">
        <v>3.3319999999999999</v>
      </c>
      <c r="M31" s="4">
        <v>16</v>
      </c>
      <c r="N31" s="4">
        <v>24</v>
      </c>
      <c r="O31" s="4" t="s">
        <v>91</v>
      </c>
      <c r="P31" s="4">
        <v>69.521355049999997</v>
      </c>
    </row>
    <row r="32" spans="1:16" ht="15" customHeight="1" x14ac:dyDescent="0.35">
      <c r="A32" s="3" t="s">
        <v>87</v>
      </c>
      <c r="B32" s="3" t="s">
        <v>92</v>
      </c>
      <c r="C32" s="3">
        <v>31.148</v>
      </c>
      <c r="D32" s="3">
        <v>13.725</v>
      </c>
      <c r="E32" s="3" t="s">
        <v>25</v>
      </c>
      <c r="F32" s="3">
        <v>22.245000000000001</v>
      </c>
      <c r="G32" s="3">
        <v>2.7</v>
      </c>
      <c r="H32" s="3">
        <v>200</v>
      </c>
      <c r="I32" s="3">
        <v>113</v>
      </c>
      <c r="J32" s="3">
        <v>74.400000000000006</v>
      </c>
      <c r="K32" s="3">
        <v>209.1</v>
      </c>
      <c r="L32" s="3">
        <v>3.452</v>
      </c>
      <c r="M32" s="3">
        <v>17</v>
      </c>
      <c r="N32" s="3">
        <v>26</v>
      </c>
      <c r="O32" s="3" t="s">
        <v>93</v>
      </c>
      <c r="P32" s="3">
        <v>80.02378204</v>
      </c>
    </row>
    <row r="33" spans="1:16" ht="15" customHeight="1" x14ac:dyDescent="0.35">
      <c r="A33" s="4" t="s">
        <v>87</v>
      </c>
      <c r="B33" s="4" t="s">
        <v>94</v>
      </c>
      <c r="C33" s="4">
        <v>32.305999999999997</v>
      </c>
      <c r="D33" s="4">
        <v>12.64</v>
      </c>
      <c r="E33" s="4" t="s">
        <v>25</v>
      </c>
      <c r="F33" s="4">
        <v>16.48</v>
      </c>
      <c r="G33" s="4">
        <v>2</v>
      </c>
      <c r="H33" s="4">
        <v>132</v>
      </c>
      <c r="I33" s="4">
        <v>108</v>
      </c>
      <c r="J33" s="4">
        <v>71</v>
      </c>
      <c r="K33" s="4">
        <v>186</v>
      </c>
      <c r="L33" s="4">
        <v>2.911</v>
      </c>
      <c r="M33" s="4">
        <v>16</v>
      </c>
      <c r="N33" s="4">
        <v>27</v>
      </c>
      <c r="O33" s="4" t="s">
        <v>95</v>
      </c>
      <c r="P33" s="4">
        <v>53.566199869999998</v>
      </c>
    </row>
    <row r="34" spans="1:16" ht="15" customHeight="1" x14ac:dyDescent="0.35">
      <c r="A34" s="3" t="s">
        <v>87</v>
      </c>
      <c r="B34" s="3" t="s">
        <v>96</v>
      </c>
      <c r="C34" s="3">
        <v>13.462</v>
      </c>
      <c r="D34" s="3">
        <v>17.324999999999999</v>
      </c>
      <c r="E34" s="3" t="s">
        <v>25</v>
      </c>
      <c r="F34" s="3">
        <v>28.34</v>
      </c>
      <c r="G34" s="3">
        <v>3.5</v>
      </c>
      <c r="H34" s="3">
        <v>253</v>
      </c>
      <c r="I34" s="3">
        <v>113</v>
      </c>
      <c r="J34" s="3">
        <v>74.400000000000006</v>
      </c>
      <c r="K34" s="3">
        <v>207.7</v>
      </c>
      <c r="L34" s="3">
        <v>3.5640000000000001</v>
      </c>
      <c r="M34" s="3">
        <v>17</v>
      </c>
      <c r="N34" s="3">
        <v>23</v>
      </c>
      <c r="O34" s="3" t="s">
        <v>97</v>
      </c>
      <c r="P34" s="3">
        <v>101.3292807</v>
      </c>
    </row>
    <row r="35" spans="1:16" ht="15" customHeight="1" x14ac:dyDescent="0.35">
      <c r="A35" s="4" t="s">
        <v>87</v>
      </c>
      <c r="B35" s="4" t="s">
        <v>98</v>
      </c>
      <c r="C35" s="4">
        <v>53.48</v>
      </c>
      <c r="D35" s="4">
        <v>19.54</v>
      </c>
      <c r="E35" s="4" t="s">
        <v>66</v>
      </c>
      <c r="F35" s="4"/>
      <c r="G35" s="4"/>
      <c r="H35" s="4"/>
      <c r="I35" s="4"/>
      <c r="J35" s="4"/>
      <c r="K35" s="4"/>
      <c r="L35" s="4"/>
      <c r="M35" s="4"/>
      <c r="N35" s="4"/>
      <c r="O35" s="4" t="s">
        <v>99</v>
      </c>
      <c r="P35" s="4"/>
    </row>
    <row r="36" spans="1:16" ht="15" customHeight="1" x14ac:dyDescent="0.35">
      <c r="A36" s="3" t="s">
        <v>87</v>
      </c>
      <c r="B36" s="3" t="s">
        <v>100</v>
      </c>
      <c r="C36" s="3">
        <v>30.696000000000002</v>
      </c>
      <c r="D36" s="3"/>
      <c r="E36" s="3" t="s">
        <v>25</v>
      </c>
      <c r="F36" s="3">
        <v>29.184999999999999</v>
      </c>
      <c r="G36" s="3">
        <v>3.5</v>
      </c>
      <c r="H36" s="3">
        <v>253</v>
      </c>
      <c r="I36" s="3">
        <v>113</v>
      </c>
      <c r="J36" s="3">
        <v>74.400000000000006</v>
      </c>
      <c r="K36" s="3">
        <v>197.8</v>
      </c>
      <c r="L36" s="3">
        <v>3.5670000000000002</v>
      </c>
      <c r="M36" s="3">
        <v>17</v>
      </c>
      <c r="N36" s="3">
        <v>23</v>
      </c>
      <c r="O36" s="3" t="s">
        <v>101</v>
      </c>
      <c r="P36" s="3">
        <v>101.6552441</v>
      </c>
    </row>
    <row r="37" spans="1:16" ht="15" customHeight="1" x14ac:dyDescent="0.35">
      <c r="A37" s="4" t="s">
        <v>102</v>
      </c>
      <c r="B37" s="4" t="s">
        <v>103</v>
      </c>
      <c r="C37" s="4">
        <v>76.034000000000006</v>
      </c>
      <c r="D37" s="4">
        <v>7.75</v>
      </c>
      <c r="E37" s="4" t="s">
        <v>25</v>
      </c>
      <c r="F37" s="4">
        <v>12.64</v>
      </c>
      <c r="G37" s="4">
        <v>2</v>
      </c>
      <c r="H37" s="4">
        <v>132</v>
      </c>
      <c r="I37" s="4">
        <v>105</v>
      </c>
      <c r="J37" s="4">
        <v>74.400000000000006</v>
      </c>
      <c r="K37" s="4">
        <v>174.4</v>
      </c>
      <c r="L37" s="4">
        <v>2.5670000000000002</v>
      </c>
      <c r="M37" s="4">
        <v>12.5</v>
      </c>
      <c r="N37" s="4">
        <v>29</v>
      </c>
      <c r="O37" s="4" t="s">
        <v>104</v>
      </c>
      <c r="P37" s="4">
        <v>52.084898750000001</v>
      </c>
    </row>
    <row r="38" spans="1:16" ht="15" customHeight="1" x14ac:dyDescent="0.35">
      <c r="A38" s="3" t="s">
        <v>102</v>
      </c>
      <c r="B38" s="3" t="s">
        <v>105</v>
      </c>
      <c r="C38" s="3">
        <v>4.734</v>
      </c>
      <c r="D38" s="3">
        <v>12.545</v>
      </c>
      <c r="E38" s="3" t="s">
        <v>25</v>
      </c>
      <c r="F38" s="3">
        <v>19.045000000000002</v>
      </c>
      <c r="G38" s="3">
        <v>2.5</v>
      </c>
      <c r="H38" s="3">
        <v>163</v>
      </c>
      <c r="I38" s="3">
        <v>103.7</v>
      </c>
      <c r="J38" s="3">
        <v>69.099999999999994</v>
      </c>
      <c r="K38" s="3">
        <v>190.2</v>
      </c>
      <c r="L38" s="3">
        <v>2.879</v>
      </c>
      <c r="M38" s="3">
        <v>15.9</v>
      </c>
      <c r="N38" s="3">
        <v>24</v>
      </c>
      <c r="O38" s="3" t="s">
        <v>106</v>
      </c>
      <c r="P38" s="3">
        <v>65.650508340000002</v>
      </c>
    </row>
    <row r="39" spans="1:16" ht="15" customHeight="1" x14ac:dyDescent="0.35">
      <c r="A39" s="4" t="s">
        <v>102</v>
      </c>
      <c r="B39" s="4" t="s">
        <v>107</v>
      </c>
      <c r="C39" s="4">
        <v>71.186000000000007</v>
      </c>
      <c r="D39" s="4">
        <v>10.185</v>
      </c>
      <c r="E39" s="4" t="s">
        <v>25</v>
      </c>
      <c r="F39" s="4">
        <v>20.23</v>
      </c>
      <c r="G39" s="4">
        <v>2.5</v>
      </c>
      <c r="H39" s="4">
        <v>168</v>
      </c>
      <c r="I39" s="4">
        <v>108</v>
      </c>
      <c r="J39" s="4">
        <v>71</v>
      </c>
      <c r="K39" s="4">
        <v>186</v>
      </c>
      <c r="L39" s="4">
        <v>3.0579999999999998</v>
      </c>
      <c r="M39" s="4">
        <v>16</v>
      </c>
      <c r="N39" s="4">
        <v>24</v>
      </c>
      <c r="O39" s="4" t="s">
        <v>108</v>
      </c>
      <c r="P39" s="4">
        <v>67.876107840000003</v>
      </c>
    </row>
    <row r="40" spans="1:16" ht="15" customHeight="1" x14ac:dyDescent="0.35">
      <c r="A40" s="3" t="s">
        <v>102</v>
      </c>
      <c r="B40" s="3" t="s">
        <v>109</v>
      </c>
      <c r="C40" s="3">
        <v>88.028000000000006</v>
      </c>
      <c r="D40" s="3">
        <v>12.275</v>
      </c>
      <c r="E40" s="3" t="s">
        <v>25</v>
      </c>
      <c r="F40" s="3">
        <v>22.504999999999999</v>
      </c>
      <c r="G40" s="3">
        <v>2.7</v>
      </c>
      <c r="H40" s="3">
        <v>202</v>
      </c>
      <c r="I40" s="3">
        <v>113</v>
      </c>
      <c r="J40" s="3">
        <v>74.7</v>
      </c>
      <c r="K40" s="3">
        <v>203.7</v>
      </c>
      <c r="L40" s="3">
        <v>3.4889999999999999</v>
      </c>
      <c r="M40" s="3">
        <v>17</v>
      </c>
      <c r="N40" s="3"/>
      <c r="O40" s="3" t="s">
        <v>110</v>
      </c>
      <c r="P40" s="3">
        <v>80.831470170000003</v>
      </c>
    </row>
    <row r="41" spans="1:16" ht="15" customHeight="1" x14ac:dyDescent="0.35">
      <c r="A41" s="4" t="s">
        <v>102</v>
      </c>
      <c r="B41" s="4" t="s">
        <v>111</v>
      </c>
      <c r="C41" s="4">
        <v>0.91600000000000004</v>
      </c>
      <c r="D41" s="4">
        <v>58.47</v>
      </c>
      <c r="E41" s="4" t="s">
        <v>25</v>
      </c>
      <c r="F41" s="4">
        <v>69.724999999999994</v>
      </c>
      <c r="G41" s="4">
        <v>8</v>
      </c>
      <c r="H41" s="4">
        <v>450</v>
      </c>
      <c r="I41" s="4">
        <v>96.2</v>
      </c>
      <c r="J41" s="4">
        <v>75.7</v>
      </c>
      <c r="K41" s="4">
        <v>176.7</v>
      </c>
      <c r="L41" s="4">
        <v>3.375</v>
      </c>
      <c r="M41" s="4">
        <v>19</v>
      </c>
      <c r="N41" s="4">
        <v>16</v>
      </c>
      <c r="O41" s="4" t="s">
        <v>112</v>
      </c>
      <c r="P41" s="4">
        <v>188.14432300000001</v>
      </c>
    </row>
    <row r="42" spans="1:16" ht="15" customHeight="1" x14ac:dyDescent="0.35">
      <c r="A42" s="3" t="s">
        <v>102</v>
      </c>
      <c r="B42" s="3" t="s">
        <v>113</v>
      </c>
      <c r="C42" s="3">
        <v>227.06100000000001</v>
      </c>
      <c r="D42" s="3">
        <v>15.06</v>
      </c>
      <c r="E42" s="3" t="s">
        <v>66</v>
      </c>
      <c r="F42" s="3">
        <v>19.46</v>
      </c>
      <c r="G42" s="3">
        <v>5.2</v>
      </c>
      <c r="H42" s="3">
        <v>230</v>
      </c>
      <c r="I42" s="3">
        <v>138.69999999999999</v>
      </c>
      <c r="J42" s="3">
        <v>79.3</v>
      </c>
      <c r="K42" s="3">
        <v>224.2</v>
      </c>
      <c r="L42" s="3">
        <v>4.47</v>
      </c>
      <c r="M42" s="3">
        <v>26</v>
      </c>
      <c r="N42" s="3">
        <v>17</v>
      </c>
      <c r="O42" s="3" t="s">
        <v>114</v>
      </c>
      <c r="P42" s="3">
        <v>90.211700050000005</v>
      </c>
    </row>
    <row r="43" spans="1:16" ht="15" customHeight="1" x14ac:dyDescent="0.35">
      <c r="A43" s="4" t="s">
        <v>102</v>
      </c>
      <c r="B43" s="4" t="s">
        <v>115</v>
      </c>
      <c r="C43" s="4">
        <v>16.766999999999999</v>
      </c>
      <c r="D43" s="4">
        <v>15.51</v>
      </c>
      <c r="E43" s="4" t="s">
        <v>66</v>
      </c>
      <c r="F43" s="4">
        <v>21.315000000000001</v>
      </c>
      <c r="G43" s="4">
        <v>3.9</v>
      </c>
      <c r="H43" s="4">
        <v>175</v>
      </c>
      <c r="I43" s="4">
        <v>109.6</v>
      </c>
      <c r="J43" s="4">
        <v>78.8</v>
      </c>
      <c r="K43" s="4">
        <v>192.6</v>
      </c>
      <c r="L43" s="4">
        <v>4.2450000000000001</v>
      </c>
      <c r="M43" s="4">
        <v>32</v>
      </c>
      <c r="N43" s="4">
        <v>15</v>
      </c>
      <c r="O43" s="4" t="s">
        <v>116</v>
      </c>
      <c r="P43" s="4">
        <v>71.135291609999996</v>
      </c>
    </row>
    <row r="44" spans="1:16" ht="15" customHeight="1" x14ac:dyDescent="0.35">
      <c r="A44" s="3" t="s">
        <v>102</v>
      </c>
      <c r="B44" s="3" t="s">
        <v>117</v>
      </c>
      <c r="C44" s="3">
        <v>31.038</v>
      </c>
      <c r="D44" s="3">
        <v>13.425000000000001</v>
      </c>
      <c r="E44" s="3" t="s">
        <v>66</v>
      </c>
      <c r="F44" s="3">
        <v>18.574999999999999</v>
      </c>
      <c r="G44" s="3">
        <v>3.9</v>
      </c>
      <c r="H44" s="3">
        <v>175</v>
      </c>
      <c r="I44" s="3">
        <v>127.2</v>
      </c>
      <c r="J44" s="3">
        <v>78.8</v>
      </c>
      <c r="K44" s="3">
        <v>208.5</v>
      </c>
      <c r="L44" s="3">
        <v>4.298</v>
      </c>
      <c r="M44" s="3">
        <v>32</v>
      </c>
      <c r="N44" s="3">
        <v>16</v>
      </c>
      <c r="O44" s="3" t="s">
        <v>118</v>
      </c>
      <c r="P44" s="3">
        <v>70.078321540000005</v>
      </c>
    </row>
    <row r="45" spans="1:16" ht="15" customHeight="1" x14ac:dyDescent="0.35">
      <c r="A45" s="4" t="s">
        <v>102</v>
      </c>
      <c r="B45" s="4" t="s">
        <v>119</v>
      </c>
      <c r="C45" s="4">
        <v>111.313</v>
      </c>
      <c r="D45" s="4">
        <v>11.26</v>
      </c>
      <c r="E45" s="4" t="s">
        <v>66</v>
      </c>
      <c r="F45" s="4">
        <v>16.98</v>
      </c>
      <c r="G45" s="4">
        <v>2.5</v>
      </c>
      <c r="H45" s="4">
        <v>120</v>
      </c>
      <c r="I45" s="4">
        <v>131</v>
      </c>
      <c r="J45" s="4">
        <v>71.5</v>
      </c>
      <c r="K45" s="4">
        <v>215</v>
      </c>
      <c r="L45" s="4">
        <v>3.5569999999999999</v>
      </c>
      <c r="M45" s="4">
        <v>22</v>
      </c>
      <c r="N45" s="4">
        <v>19</v>
      </c>
      <c r="O45" s="4" t="s">
        <v>120</v>
      </c>
      <c r="P45" s="4">
        <v>49.64500177</v>
      </c>
    </row>
    <row r="46" spans="1:16" ht="15" customHeight="1" x14ac:dyDescent="0.35">
      <c r="A46" s="3" t="s">
        <v>102</v>
      </c>
      <c r="B46" s="3" t="s">
        <v>121</v>
      </c>
      <c r="C46" s="3">
        <v>101.32299999999999</v>
      </c>
      <c r="D46" s="3"/>
      <c r="E46" s="3" t="s">
        <v>66</v>
      </c>
      <c r="F46" s="3">
        <v>26.31</v>
      </c>
      <c r="G46" s="3">
        <v>5.2</v>
      </c>
      <c r="H46" s="3">
        <v>230</v>
      </c>
      <c r="I46" s="3">
        <v>115.7</v>
      </c>
      <c r="J46" s="3">
        <v>71.7</v>
      </c>
      <c r="K46" s="3">
        <v>193.5</v>
      </c>
      <c r="L46" s="3">
        <v>4.3940000000000001</v>
      </c>
      <c r="M46" s="3">
        <v>25</v>
      </c>
      <c r="N46" s="3">
        <v>17</v>
      </c>
      <c r="O46" s="3" t="s">
        <v>122</v>
      </c>
      <c r="P46" s="3">
        <v>92.85412522</v>
      </c>
    </row>
    <row r="47" spans="1:16" ht="15" customHeight="1" x14ac:dyDescent="0.35">
      <c r="A47" s="4" t="s">
        <v>102</v>
      </c>
      <c r="B47" s="4" t="s">
        <v>123</v>
      </c>
      <c r="C47" s="4">
        <v>181.749</v>
      </c>
      <c r="D47" s="4">
        <v>12.025</v>
      </c>
      <c r="E47" s="4" t="s">
        <v>66</v>
      </c>
      <c r="F47" s="4">
        <v>19.565000000000001</v>
      </c>
      <c r="G47" s="4">
        <v>2.4</v>
      </c>
      <c r="H47" s="4">
        <v>150</v>
      </c>
      <c r="I47" s="4">
        <v>113.3</v>
      </c>
      <c r="J47" s="4">
        <v>76.8</v>
      </c>
      <c r="K47" s="4">
        <v>186.3</v>
      </c>
      <c r="L47" s="4">
        <v>3.5329999999999999</v>
      </c>
      <c r="M47" s="4">
        <v>20</v>
      </c>
      <c r="N47" s="4">
        <v>24</v>
      </c>
      <c r="O47" s="4" t="s">
        <v>124</v>
      </c>
      <c r="P47" s="4">
        <v>61.227000310000001</v>
      </c>
    </row>
    <row r="48" spans="1:16" ht="15" customHeight="1" x14ac:dyDescent="0.35">
      <c r="A48" s="3" t="s">
        <v>125</v>
      </c>
      <c r="B48" s="3" t="s">
        <v>126</v>
      </c>
      <c r="C48" s="3">
        <v>70.227000000000004</v>
      </c>
      <c r="D48" s="3">
        <v>7.4249999999999998</v>
      </c>
      <c r="E48" s="3" t="s">
        <v>25</v>
      </c>
      <c r="F48" s="3">
        <v>12.07</v>
      </c>
      <c r="G48" s="3">
        <v>2</v>
      </c>
      <c r="H48" s="3">
        <v>110</v>
      </c>
      <c r="I48" s="3">
        <v>98.4</v>
      </c>
      <c r="J48" s="3">
        <v>67</v>
      </c>
      <c r="K48" s="3">
        <v>174.7</v>
      </c>
      <c r="L48" s="3">
        <v>2.468</v>
      </c>
      <c r="M48" s="3">
        <v>12.7</v>
      </c>
      <c r="N48" s="3">
        <v>30</v>
      </c>
      <c r="O48" s="3" t="s">
        <v>127</v>
      </c>
      <c r="P48" s="3">
        <v>44.083709460000001</v>
      </c>
    </row>
    <row r="49" spans="1:16" ht="15" customHeight="1" x14ac:dyDescent="0.35">
      <c r="A49" s="4" t="s">
        <v>125</v>
      </c>
      <c r="B49" s="4" t="s">
        <v>128</v>
      </c>
      <c r="C49" s="4">
        <v>113.369</v>
      </c>
      <c r="D49" s="4">
        <v>12.76</v>
      </c>
      <c r="E49" s="4" t="s">
        <v>25</v>
      </c>
      <c r="F49" s="4">
        <v>21.56</v>
      </c>
      <c r="G49" s="4">
        <v>3.8</v>
      </c>
      <c r="H49" s="4">
        <v>190</v>
      </c>
      <c r="I49" s="4">
        <v>101.3</v>
      </c>
      <c r="J49" s="4">
        <v>73.099999999999994</v>
      </c>
      <c r="K49" s="4">
        <v>183.2</v>
      </c>
      <c r="L49" s="4">
        <v>3.2029999999999998</v>
      </c>
      <c r="M49" s="4">
        <v>15.7</v>
      </c>
      <c r="N49" s="4">
        <v>24</v>
      </c>
      <c r="O49" s="4" t="s">
        <v>129</v>
      </c>
      <c r="P49" s="4">
        <v>76.509184559999994</v>
      </c>
    </row>
    <row r="50" spans="1:16" ht="15" customHeight="1" x14ac:dyDescent="0.35">
      <c r="A50" s="3" t="s">
        <v>125</v>
      </c>
      <c r="B50" s="3" t="s">
        <v>130</v>
      </c>
      <c r="C50" s="3">
        <v>35.067999999999998</v>
      </c>
      <c r="D50" s="3">
        <v>8.8350000000000009</v>
      </c>
      <c r="E50" s="3" t="s">
        <v>25</v>
      </c>
      <c r="F50" s="3">
        <v>17.035</v>
      </c>
      <c r="G50" s="3">
        <v>2.5</v>
      </c>
      <c r="H50" s="3">
        <v>170</v>
      </c>
      <c r="I50" s="3">
        <v>106.5</v>
      </c>
      <c r="J50" s="3">
        <v>69.099999999999994</v>
      </c>
      <c r="K50" s="3">
        <v>184.6</v>
      </c>
      <c r="L50" s="3">
        <v>2.7690000000000001</v>
      </c>
      <c r="M50" s="3">
        <v>15</v>
      </c>
      <c r="N50" s="3">
        <v>25</v>
      </c>
      <c r="O50" s="3" t="s">
        <v>131</v>
      </c>
      <c r="P50" s="3">
        <v>67.351010720000005</v>
      </c>
    </row>
    <row r="51" spans="1:16" ht="15" customHeight="1" x14ac:dyDescent="0.35">
      <c r="A51" s="4" t="s">
        <v>125</v>
      </c>
      <c r="B51" s="4" t="s">
        <v>132</v>
      </c>
      <c r="C51" s="4">
        <v>245.815</v>
      </c>
      <c r="D51" s="4">
        <v>10.055</v>
      </c>
      <c r="E51" s="4" t="s">
        <v>25</v>
      </c>
      <c r="F51" s="4">
        <v>17.885000000000002</v>
      </c>
      <c r="G51" s="4">
        <v>3</v>
      </c>
      <c r="H51" s="4">
        <v>155</v>
      </c>
      <c r="I51" s="4">
        <v>108.5</v>
      </c>
      <c r="J51" s="4">
        <v>73</v>
      </c>
      <c r="K51" s="4">
        <v>197.6</v>
      </c>
      <c r="L51" s="4">
        <v>3.3679999999999999</v>
      </c>
      <c r="M51" s="4">
        <v>16</v>
      </c>
      <c r="N51" s="4">
        <v>24</v>
      </c>
      <c r="O51" s="4" t="s">
        <v>133</v>
      </c>
      <c r="P51" s="4">
        <v>62.503739500000002</v>
      </c>
    </row>
    <row r="52" spans="1:16" ht="15" customHeight="1" x14ac:dyDescent="0.35">
      <c r="A52" s="3" t="s">
        <v>125</v>
      </c>
      <c r="B52" s="3" t="s">
        <v>134</v>
      </c>
      <c r="C52" s="3">
        <v>175.67</v>
      </c>
      <c r="D52" s="3"/>
      <c r="E52" s="3" t="s">
        <v>25</v>
      </c>
      <c r="F52" s="3">
        <v>12.315</v>
      </c>
      <c r="G52" s="3">
        <v>2</v>
      </c>
      <c r="H52" s="3">
        <v>107</v>
      </c>
      <c r="I52" s="3">
        <v>103</v>
      </c>
      <c r="J52" s="3">
        <v>66.900000000000006</v>
      </c>
      <c r="K52" s="3">
        <v>174.8</v>
      </c>
      <c r="L52" s="3">
        <v>2.5640000000000001</v>
      </c>
      <c r="M52" s="3">
        <v>13.2</v>
      </c>
      <c r="N52" s="3">
        <v>30</v>
      </c>
      <c r="O52" s="3" t="s">
        <v>135</v>
      </c>
      <c r="P52" s="3">
        <v>43.117132009999999</v>
      </c>
    </row>
    <row r="53" spans="1:16" ht="15" customHeight="1" x14ac:dyDescent="0.35">
      <c r="A53" s="4" t="s">
        <v>125</v>
      </c>
      <c r="B53" s="4" t="s">
        <v>136</v>
      </c>
      <c r="C53" s="4">
        <v>63.402999999999999</v>
      </c>
      <c r="D53" s="4">
        <v>14.21</v>
      </c>
      <c r="E53" s="4" t="s">
        <v>25</v>
      </c>
      <c r="F53" s="4">
        <v>22.195</v>
      </c>
      <c r="G53" s="4">
        <v>4.5999999999999996</v>
      </c>
      <c r="H53" s="4">
        <v>200</v>
      </c>
      <c r="I53" s="4">
        <v>114.7</v>
      </c>
      <c r="J53" s="4">
        <v>78.2</v>
      </c>
      <c r="K53" s="4">
        <v>212</v>
      </c>
      <c r="L53" s="4">
        <v>3.9079999999999999</v>
      </c>
      <c r="M53" s="4">
        <v>19</v>
      </c>
      <c r="N53" s="4">
        <v>21</v>
      </c>
      <c r="O53" s="4" t="s">
        <v>137</v>
      </c>
      <c r="P53" s="4">
        <v>80.499536710000001</v>
      </c>
    </row>
    <row r="54" spans="1:16" ht="15" customHeight="1" x14ac:dyDescent="0.35">
      <c r="A54" s="3" t="s">
        <v>125</v>
      </c>
      <c r="B54" s="3" t="s">
        <v>138</v>
      </c>
      <c r="C54" s="3">
        <v>276.74700000000001</v>
      </c>
      <c r="D54" s="3">
        <v>16.64</v>
      </c>
      <c r="E54" s="3" t="s">
        <v>66</v>
      </c>
      <c r="F54" s="3">
        <v>31.93</v>
      </c>
      <c r="G54" s="3">
        <v>4</v>
      </c>
      <c r="H54" s="3">
        <v>210</v>
      </c>
      <c r="I54" s="3">
        <v>111.6</v>
      </c>
      <c r="J54" s="3">
        <v>70.2</v>
      </c>
      <c r="K54" s="3">
        <v>190.7</v>
      </c>
      <c r="L54" s="3">
        <v>3.8759999999999999</v>
      </c>
      <c r="M54" s="3">
        <v>21</v>
      </c>
      <c r="N54" s="3">
        <v>19</v>
      </c>
      <c r="O54" s="3" t="s">
        <v>139</v>
      </c>
      <c r="P54" s="3">
        <v>87.635495779999999</v>
      </c>
    </row>
    <row r="55" spans="1:16" ht="15" customHeight="1" x14ac:dyDescent="0.35">
      <c r="A55" s="4" t="s">
        <v>125</v>
      </c>
      <c r="B55" s="4" t="s">
        <v>140</v>
      </c>
      <c r="C55" s="4">
        <v>155.78700000000001</v>
      </c>
      <c r="D55" s="4">
        <v>13.175000000000001</v>
      </c>
      <c r="E55" s="4" t="s">
        <v>66</v>
      </c>
      <c r="F55" s="4">
        <v>21.41</v>
      </c>
      <c r="G55" s="4">
        <v>3</v>
      </c>
      <c r="H55" s="4">
        <v>150</v>
      </c>
      <c r="I55" s="4">
        <v>120.7</v>
      </c>
      <c r="J55" s="4">
        <v>76.599999999999994</v>
      </c>
      <c r="K55" s="4">
        <v>200.9</v>
      </c>
      <c r="L55" s="4">
        <v>3.7610000000000001</v>
      </c>
      <c r="M55" s="4">
        <v>26</v>
      </c>
      <c r="N55" s="4">
        <v>21</v>
      </c>
      <c r="O55" s="4" t="s">
        <v>141</v>
      </c>
      <c r="P55" s="4">
        <v>62.095048390000002</v>
      </c>
    </row>
    <row r="56" spans="1:16" ht="15" customHeight="1" x14ac:dyDescent="0.35">
      <c r="A56" s="3" t="s">
        <v>125</v>
      </c>
      <c r="B56" s="3" t="s">
        <v>142</v>
      </c>
      <c r="C56" s="3">
        <v>125.33799999999999</v>
      </c>
      <c r="D56" s="3">
        <v>23.574999999999999</v>
      </c>
      <c r="E56" s="3" t="s">
        <v>66</v>
      </c>
      <c r="F56" s="3">
        <v>36.134999999999998</v>
      </c>
      <c r="G56" s="3">
        <v>4.5999999999999996</v>
      </c>
      <c r="H56" s="3">
        <v>240</v>
      </c>
      <c r="I56" s="3">
        <v>119</v>
      </c>
      <c r="J56" s="3">
        <v>78.7</v>
      </c>
      <c r="K56" s="3">
        <v>204.6</v>
      </c>
      <c r="L56" s="3">
        <v>4.8079999999999998</v>
      </c>
      <c r="M56" s="3">
        <v>26</v>
      </c>
      <c r="N56" s="3">
        <v>16</v>
      </c>
      <c r="O56" s="3" t="s">
        <v>143</v>
      </c>
      <c r="P56" s="3">
        <v>100.0248023</v>
      </c>
    </row>
    <row r="57" spans="1:16" ht="15" customHeight="1" x14ac:dyDescent="0.35">
      <c r="A57" s="4" t="s">
        <v>125</v>
      </c>
      <c r="B57" s="4" t="s">
        <v>144</v>
      </c>
      <c r="C57" s="4">
        <v>220.65</v>
      </c>
      <c r="D57" s="4">
        <v>7.85</v>
      </c>
      <c r="E57" s="4" t="s">
        <v>66</v>
      </c>
      <c r="F57" s="4">
        <v>12.05</v>
      </c>
      <c r="G57" s="4">
        <v>2.5</v>
      </c>
      <c r="H57" s="4">
        <v>119</v>
      </c>
      <c r="I57" s="4">
        <v>117.5</v>
      </c>
      <c r="J57" s="4">
        <v>69.400000000000006</v>
      </c>
      <c r="K57" s="4">
        <v>200.7</v>
      </c>
      <c r="L57" s="4">
        <v>3.0859999999999999</v>
      </c>
      <c r="M57" s="4">
        <v>20</v>
      </c>
      <c r="N57" s="4">
        <v>23</v>
      </c>
      <c r="O57" s="4" t="s">
        <v>145</v>
      </c>
      <c r="P57" s="4">
        <v>47.389531310000002</v>
      </c>
    </row>
    <row r="58" spans="1:16" ht="15" customHeight="1" x14ac:dyDescent="0.35">
      <c r="A58" s="3" t="s">
        <v>125</v>
      </c>
      <c r="B58" s="3" t="s">
        <v>146</v>
      </c>
      <c r="C58" s="3">
        <v>540.56100000000004</v>
      </c>
      <c r="D58" s="3">
        <v>15.074999999999999</v>
      </c>
      <c r="E58" s="3" t="s">
        <v>66</v>
      </c>
      <c r="F58" s="3">
        <v>26.934999999999999</v>
      </c>
      <c r="G58" s="3">
        <v>4.5999999999999996</v>
      </c>
      <c r="H58" s="3">
        <v>220</v>
      </c>
      <c r="I58" s="3">
        <v>138.5</v>
      </c>
      <c r="J58" s="3">
        <v>79.099999999999994</v>
      </c>
      <c r="K58" s="3">
        <v>224.5</v>
      </c>
      <c r="L58" s="3">
        <v>4.2409999999999997</v>
      </c>
      <c r="M58" s="3">
        <v>25.1</v>
      </c>
      <c r="N58" s="3">
        <v>18</v>
      </c>
      <c r="O58" s="3" t="s">
        <v>147</v>
      </c>
      <c r="P58" s="3">
        <v>89.401934729999994</v>
      </c>
    </row>
    <row r="59" spans="1:16" ht="15" customHeight="1" x14ac:dyDescent="0.35">
      <c r="A59" s="4" t="s">
        <v>148</v>
      </c>
      <c r="B59" s="4" t="s">
        <v>149</v>
      </c>
      <c r="C59" s="4">
        <v>199.685</v>
      </c>
      <c r="D59" s="4">
        <v>9.85</v>
      </c>
      <c r="E59" s="4" t="s">
        <v>25</v>
      </c>
      <c r="F59" s="4">
        <v>12.885</v>
      </c>
      <c r="G59" s="4">
        <v>1.6</v>
      </c>
      <c r="H59" s="4">
        <v>106</v>
      </c>
      <c r="I59" s="4">
        <v>103.2</v>
      </c>
      <c r="J59" s="4">
        <v>67.099999999999994</v>
      </c>
      <c r="K59" s="4">
        <v>175.1</v>
      </c>
      <c r="L59" s="4">
        <v>2.339</v>
      </c>
      <c r="M59" s="4">
        <v>11.9</v>
      </c>
      <c r="N59" s="4">
        <v>32</v>
      </c>
      <c r="O59" s="4" t="s">
        <v>150</v>
      </c>
      <c r="P59" s="4">
        <v>42.879097340000001</v>
      </c>
    </row>
    <row r="60" spans="1:16" ht="15" customHeight="1" x14ac:dyDescent="0.35">
      <c r="A60" s="3" t="s">
        <v>148</v>
      </c>
      <c r="B60" s="3" t="s">
        <v>151</v>
      </c>
      <c r="C60" s="3">
        <v>230.90199999999999</v>
      </c>
      <c r="D60" s="3">
        <v>13.21</v>
      </c>
      <c r="E60" s="3" t="s">
        <v>25</v>
      </c>
      <c r="F60" s="3">
        <v>15.35</v>
      </c>
      <c r="G60" s="3">
        <v>2.2999999999999998</v>
      </c>
      <c r="H60" s="3">
        <v>135</v>
      </c>
      <c r="I60" s="3">
        <v>106.9</v>
      </c>
      <c r="J60" s="3">
        <v>70.3</v>
      </c>
      <c r="K60" s="3">
        <v>188.8</v>
      </c>
      <c r="L60" s="3">
        <v>2.9319999999999999</v>
      </c>
      <c r="M60" s="3">
        <v>17.100000000000001</v>
      </c>
      <c r="N60" s="3">
        <v>27</v>
      </c>
      <c r="O60" s="3" t="s">
        <v>152</v>
      </c>
      <c r="P60" s="3">
        <v>54.269548290000003</v>
      </c>
    </row>
    <row r="61" spans="1:16" ht="15" customHeight="1" x14ac:dyDescent="0.35">
      <c r="A61" s="4" t="s">
        <v>148</v>
      </c>
      <c r="B61" s="4" t="s">
        <v>153</v>
      </c>
      <c r="C61" s="4">
        <v>73.203000000000003</v>
      </c>
      <c r="D61" s="4">
        <v>17.71</v>
      </c>
      <c r="E61" s="4" t="s">
        <v>66</v>
      </c>
      <c r="F61" s="4">
        <v>20.55</v>
      </c>
      <c r="G61" s="4">
        <v>2</v>
      </c>
      <c r="H61" s="4">
        <v>146</v>
      </c>
      <c r="I61" s="4">
        <v>103.2</v>
      </c>
      <c r="J61" s="4">
        <v>68.900000000000006</v>
      </c>
      <c r="K61" s="4">
        <v>177.6</v>
      </c>
      <c r="L61" s="4">
        <v>3.2189999999999999</v>
      </c>
      <c r="M61" s="4">
        <v>15.3</v>
      </c>
      <c r="N61" s="4">
        <v>24</v>
      </c>
      <c r="O61" s="4" t="s">
        <v>154</v>
      </c>
      <c r="P61" s="4">
        <v>60.087966620000003</v>
      </c>
    </row>
    <row r="62" spans="1:16" ht="15" customHeight="1" x14ac:dyDescent="0.35">
      <c r="A62" s="3" t="s">
        <v>148</v>
      </c>
      <c r="B62" s="3" t="s">
        <v>155</v>
      </c>
      <c r="C62" s="3">
        <v>12.855</v>
      </c>
      <c r="D62" s="3">
        <v>17.524999999999999</v>
      </c>
      <c r="E62" s="3" t="s">
        <v>66</v>
      </c>
      <c r="F62" s="3">
        <v>26.6</v>
      </c>
      <c r="G62" s="3">
        <v>3.2</v>
      </c>
      <c r="H62" s="3">
        <v>205</v>
      </c>
      <c r="I62" s="3">
        <v>106.4</v>
      </c>
      <c r="J62" s="3">
        <v>70.400000000000006</v>
      </c>
      <c r="K62" s="3">
        <v>178.2</v>
      </c>
      <c r="L62" s="3">
        <v>3.8570000000000002</v>
      </c>
      <c r="M62" s="3">
        <v>21.1</v>
      </c>
      <c r="N62" s="3">
        <v>19</v>
      </c>
      <c r="O62" s="3" t="s">
        <v>156</v>
      </c>
      <c r="P62" s="3">
        <v>83.602500800000001</v>
      </c>
    </row>
    <row r="63" spans="1:16" ht="15" customHeight="1" x14ac:dyDescent="0.35">
      <c r="A63" s="4" t="s">
        <v>148</v>
      </c>
      <c r="B63" s="4" t="s">
        <v>157</v>
      </c>
      <c r="C63" s="4">
        <v>76.028999999999996</v>
      </c>
      <c r="D63" s="4">
        <v>19.489999999999998</v>
      </c>
      <c r="E63" s="4" t="s">
        <v>66</v>
      </c>
      <c r="F63" s="4">
        <v>26</v>
      </c>
      <c r="G63" s="4">
        <v>3.5</v>
      </c>
      <c r="H63" s="4">
        <v>210</v>
      </c>
      <c r="I63" s="4">
        <v>118.1</v>
      </c>
      <c r="J63" s="4">
        <v>75.599999999999994</v>
      </c>
      <c r="K63" s="4">
        <v>201.2</v>
      </c>
      <c r="L63" s="4">
        <v>4.2880000000000003</v>
      </c>
      <c r="M63" s="4">
        <v>20</v>
      </c>
      <c r="N63" s="4">
        <v>23</v>
      </c>
      <c r="O63" s="4" t="s">
        <v>158</v>
      </c>
      <c r="P63" s="4">
        <v>85.217691340000002</v>
      </c>
    </row>
    <row r="64" spans="1:16" ht="15" customHeight="1" x14ac:dyDescent="0.35">
      <c r="A64" s="3" t="s">
        <v>159</v>
      </c>
      <c r="B64" s="3" t="s">
        <v>160</v>
      </c>
      <c r="C64" s="3">
        <v>41.183999999999997</v>
      </c>
      <c r="D64" s="3">
        <v>5.86</v>
      </c>
      <c r="E64" s="3" t="s">
        <v>25</v>
      </c>
      <c r="F64" s="3">
        <v>9.6989999999999998</v>
      </c>
      <c r="G64" s="3">
        <v>1.5</v>
      </c>
      <c r="H64" s="3">
        <v>92</v>
      </c>
      <c r="I64" s="3">
        <v>96.1</v>
      </c>
      <c r="J64" s="3">
        <v>65.7</v>
      </c>
      <c r="K64" s="3">
        <v>166.7</v>
      </c>
      <c r="L64" s="3">
        <v>2.2400000000000002</v>
      </c>
      <c r="M64" s="3">
        <v>11.9</v>
      </c>
      <c r="N64" s="3">
        <v>31</v>
      </c>
      <c r="O64" s="3" t="s">
        <v>161</v>
      </c>
      <c r="P64" s="3">
        <v>36.672283579999998</v>
      </c>
    </row>
    <row r="65" spans="1:16" ht="15" customHeight="1" x14ac:dyDescent="0.35">
      <c r="A65" s="4" t="s">
        <v>159</v>
      </c>
      <c r="B65" s="4" t="s">
        <v>162</v>
      </c>
      <c r="C65" s="4">
        <v>66.691999999999993</v>
      </c>
      <c r="D65" s="4">
        <v>7.8250000000000002</v>
      </c>
      <c r="E65" s="4" t="s">
        <v>25</v>
      </c>
      <c r="F65" s="4">
        <v>11.798999999999999</v>
      </c>
      <c r="G65" s="4">
        <v>2</v>
      </c>
      <c r="H65" s="4">
        <v>140</v>
      </c>
      <c r="I65" s="4">
        <v>100.4</v>
      </c>
      <c r="J65" s="4">
        <v>66.900000000000006</v>
      </c>
      <c r="K65" s="4">
        <v>174</v>
      </c>
      <c r="L65" s="4">
        <v>2.6259999999999999</v>
      </c>
      <c r="M65" s="4">
        <v>14.5</v>
      </c>
      <c r="N65" s="4">
        <v>27</v>
      </c>
      <c r="O65" s="4" t="s">
        <v>163</v>
      </c>
      <c r="P65" s="4">
        <v>54.590045160000003</v>
      </c>
    </row>
    <row r="66" spans="1:16" ht="15" customHeight="1" x14ac:dyDescent="0.35">
      <c r="A66" s="3" t="s">
        <v>159</v>
      </c>
      <c r="B66" s="3" t="s">
        <v>164</v>
      </c>
      <c r="C66" s="3">
        <v>29.45</v>
      </c>
      <c r="D66" s="3">
        <v>8.91</v>
      </c>
      <c r="E66" s="3" t="s">
        <v>25</v>
      </c>
      <c r="F66" s="3">
        <v>14.999000000000001</v>
      </c>
      <c r="G66" s="3">
        <v>2.4</v>
      </c>
      <c r="H66" s="3">
        <v>148</v>
      </c>
      <c r="I66" s="3">
        <v>106.3</v>
      </c>
      <c r="J66" s="3">
        <v>71.599999999999994</v>
      </c>
      <c r="K66" s="3">
        <v>185.4</v>
      </c>
      <c r="L66" s="3">
        <v>3.0720000000000001</v>
      </c>
      <c r="M66" s="3">
        <v>17.2</v>
      </c>
      <c r="N66" s="3">
        <v>25</v>
      </c>
      <c r="O66" s="3" t="s">
        <v>165</v>
      </c>
      <c r="P66" s="3">
        <v>58.758248999999999</v>
      </c>
    </row>
    <row r="67" spans="1:16" ht="15" customHeight="1" x14ac:dyDescent="0.35">
      <c r="A67" s="4" t="s">
        <v>166</v>
      </c>
      <c r="B67" s="4" t="s">
        <v>167</v>
      </c>
      <c r="C67" s="4">
        <v>23.713000000000001</v>
      </c>
      <c r="D67" s="4">
        <v>19.690000000000001</v>
      </c>
      <c r="E67" s="4" t="s">
        <v>25</v>
      </c>
      <c r="F67" s="4">
        <v>29.465</v>
      </c>
      <c r="G67" s="4">
        <v>3</v>
      </c>
      <c r="H67" s="4">
        <v>227</v>
      </c>
      <c r="I67" s="4">
        <v>108.3</v>
      </c>
      <c r="J67" s="4">
        <v>70.2</v>
      </c>
      <c r="K67" s="4">
        <v>193.7</v>
      </c>
      <c r="L67" s="4">
        <v>3.3420000000000001</v>
      </c>
      <c r="M67" s="4">
        <v>18.5</v>
      </c>
      <c r="N67" s="4">
        <v>25</v>
      </c>
      <c r="O67" s="4" t="s">
        <v>168</v>
      </c>
      <c r="P67" s="4">
        <v>92.436889230000006</v>
      </c>
    </row>
    <row r="68" spans="1:16" ht="15" customHeight="1" x14ac:dyDescent="0.35">
      <c r="A68" s="3" t="s">
        <v>169</v>
      </c>
      <c r="B68" s="3" t="s">
        <v>170</v>
      </c>
      <c r="C68" s="3">
        <v>15.467000000000001</v>
      </c>
      <c r="D68" s="3"/>
      <c r="E68" s="3" t="s">
        <v>25</v>
      </c>
      <c r="F68" s="3">
        <v>42.8</v>
      </c>
      <c r="G68" s="3">
        <v>3</v>
      </c>
      <c r="H68" s="3">
        <v>240</v>
      </c>
      <c r="I68" s="3">
        <v>114.5</v>
      </c>
      <c r="J68" s="3">
        <v>71.599999999999994</v>
      </c>
      <c r="K68" s="3">
        <v>191.3</v>
      </c>
      <c r="L68" s="3">
        <v>3.65</v>
      </c>
      <c r="M68" s="3">
        <v>18.399999999999999</v>
      </c>
      <c r="N68" s="3">
        <v>21</v>
      </c>
      <c r="O68" s="3" t="s">
        <v>171</v>
      </c>
      <c r="P68" s="3">
        <v>102.17898479999999</v>
      </c>
    </row>
    <row r="69" spans="1:16" ht="15" customHeight="1" x14ac:dyDescent="0.35">
      <c r="A69" s="4" t="s">
        <v>172</v>
      </c>
      <c r="B69" s="4" t="s">
        <v>173</v>
      </c>
      <c r="C69" s="4">
        <v>55.557000000000002</v>
      </c>
      <c r="D69" s="4">
        <v>13.475</v>
      </c>
      <c r="E69" s="4" t="s">
        <v>66</v>
      </c>
      <c r="F69" s="4">
        <v>14.46</v>
      </c>
      <c r="G69" s="4">
        <v>2.5</v>
      </c>
      <c r="H69" s="4">
        <v>120</v>
      </c>
      <c r="I69" s="4">
        <v>93.4</v>
      </c>
      <c r="J69" s="4">
        <v>66.7</v>
      </c>
      <c r="K69" s="4">
        <v>152</v>
      </c>
      <c r="L69" s="4">
        <v>3.0449999999999999</v>
      </c>
      <c r="M69" s="4">
        <v>19</v>
      </c>
      <c r="N69" s="4">
        <v>17</v>
      </c>
      <c r="O69" s="4" t="s">
        <v>174</v>
      </c>
      <c r="P69" s="4">
        <v>48.672897910000003</v>
      </c>
    </row>
    <row r="70" spans="1:16" ht="15" customHeight="1" x14ac:dyDescent="0.35">
      <c r="A70" s="3" t="s">
        <v>172</v>
      </c>
      <c r="B70" s="3" t="s">
        <v>175</v>
      </c>
      <c r="C70" s="3">
        <v>80.555999999999997</v>
      </c>
      <c r="D70" s="3">
        <v>13.775</v>
      </c>
      <c r="E70" s="3" t="s">
        <v>66</v>
      </c>
      <c r="F70" s="3">
        <v>21.62</v>
      </c>
      <c r="G70" s="3">
        <v>4</v>
      </c>
      <c r="H70" s="3">
        <v>190</v>
      </c>
      <c r="I70" s="3">
        <v>101.4</v>
      </c>
      <c r="J70" s="3">
        <v>69.400000000000006</v>
      </c>
      <c r="K70" s="3">
        <v>167.5</v>
      </c>
      <c r="L70" s="3">
        <v>3.194</v>
      </c>
      <c r="M70" s="3">
        <v>20</v>
      </c>
      <c r="N70" s="3">
        <v>20</v>
      </c>
      <c r="O70" s="3" t="s">
        <v>176</v>
      </c>
      <c r="P70" s="3">
        <v>76.584439619999998</v>
      </c>
    </row>
    <row r="71" spans="1:16" ht="15" customHeight="1" x14ac:dyDescent="0.35">
      <c r="A71" s="4" t="s">
        <v>172</v>
      </c>
      <c r="B71" s="4" t="s">
        <v>177</v>
      </c>
      <c r="C71" s="4">
        <v>157.04</v>
      </c>
      <c r="D71" s="4">
        <v>18.809999999999999</v>
      </c>
      <c r="E71" s="4" t="s">
        <v>66</v>
      </c>
      <c r="F71" s="4">
        <v>26.895</v>
      </c>
      <c r="G71" s="4">
        <v>4</v>
      </c>
      <c r="H71" s="4">
        <v>195</v>
      </c>
      <c r="I71" s="4">
        <v>105.9</v>
      </c>
      <c r="J71" s="4">
        <v>72.3</v>
      </c>
      <c r="K71" s="4">
        <v>181.5</v>
      </c>
      <c r="L71" s="4">
        <v>3.88</v>
      </c>
      <c r="M71" s="4">
        <v>20.5</v>
      </c>
      <c r="N71" s="4">
        <v>19</v>
      </c>
      <c r="O71" s="4" t="s">
        <v>178</v>
      </c>
      <c r="P71" s="4">
        <v>80.387779120000005</v>
      </c>
    </row>
    <row r="72" spans="1:16" ht="15" customHeight="1" x14ac:dyDescent="0.35">
      <c r="A72" s="3" t="s">
        <v>179</v>
      </c>
      <c r="B72" s="3" t="s">
        <v>180</v>
      </c>
      <c r="C72" s="3">
        <v>24.071999999999999</v>
      </c>
      <c r="D72" s="3">
        <v>26.975000000000001</v>
      </c>
      <c r="E72" s="3" t="s">
        <v>25</v>
      </c>
      <c r="F72" s="3">
        <v>31.504999999999999</v>
      </c>
      <c r="G72" s="3">
        <v>3</v>
      </c>
      <c r="H72" s="3">
        <v>210</v>
      </c>
      <c r="I72" s="3">
        <v>105.1</v>
      </c>
      <c r="J72" s="3">
        <v>70.5</v>
      </c>
      <c r="K72" s="3">
        <v>190.2</v>
      </c>
      <c r="L72" s="3">
        <v>3.3730000000000002</v>
      </c>
      <c r="M72" s="3">
        <v>18.5</v>
      </c>
      <c r="N72" s="3">
        <v>23</v>
      </c>
      <c r="O72" s="3" t="s">
        <v>181</v>
      </c>
      <c r="P72" s="3">
        <v>87.211001039999999</v>
      </c>
    </row>
    <row r="73" spans="1:16" ht="15" customHeight="1" x14ac:dyDescent="0.35">
      <c r="A73" s="4" t="s">
        <v>179</v>
      </c>
      <c r="B73" s="4" t="s">
        <v>182</v>
      </c>
      <c r="C73" s="4">
        <v>12.698</v>
      </c>
      <c r="D73" s="4">
        <v>32.075000000000003</v>
      </c>
      <c r="E73" s="4" t="s">
        <v>25</v>
      </c>
      <c r="F73" s="4">
        <v>37.805</v>
      </c>
      <c r="G73" s="4">
        <v>3</v>
      </c>
      <c r="H73" s="4">
        <v>225</v>
      </c>
      <c r="I73" s="4">
        <v>110.2</v>
      </c>
      <c r="J73" s="4">
        <v>70.900000000000006</v>
      </c>
      <c r="K73" s="4">
        <v>189.2</v>
      </c>
      <c r="L73" s="4">
        <v>3.6379999999999999</v>
      </c>
      <c r="M73" s="4">
        <v>19.8</v>
      </c>
      <c r="N73" s="4">
        <v>23</v>
      </c>
      <c r="O73" s="4" t="s">
        <v>183</v>
      </c>
      <c r="P73" s="4">
        <v>94.946698400000002</v>
      </c>
    </row>
    <row r="74" spans="1:16" ht="15" customHeight="1" x14ac:dyDescent="0.35">
      <c r="A74" s="3" t="s">
        <v>179</v>
      </c>
      <c r="B74" s="3" t="s">
        <v>184</v>
      </c>
      <c r="C74" s="3">
        <v>3.3340000000000001</v>
      </c>
      <c r="D74" s="3"/>
      <c r="E74" s="3" t="s">
        <v>25</v>
      </c>
      <c r="F74" s="3">
        <v>46.305</v>
      </c>
      <c r="G74" s="3">
        <v>4</v>
      </c>
      <c r="H74" s="3">
        <v>300</v>
      </c>
      <c r="I74" s="3">
        <v>110.2</v>
      </c>
      <c r="J74" s="3">
        <v>70.900000000000006</v>
      </c>
      <c r="K74" s="3">
        <v>189.2</v>
      </c>
      <c r="L74" s="3">
        <v>3.6930000000000001</v>
      </c>
      <c r="M74" s="3">
        <v>19.8</v>
      </c>
      <c r="N74" s="3">
        <v>21</v>
      </c>
      <c r="O74" s="3" t="s">
        <v>185</v>
      </c>
      <c r="P74" s="3">
        <v>125.0133574</v>
      </c>
    </row>
    <row r="75" spans="1:16" ht="15" customHeight="1" x14ac:dyDescent="0.35">
      <c r="A75" s="4" t="s">
        <v>179</v>
      </c>
      <c r="B75" s="4" t="s">
        <v>186</v>
      </c>
      <c r="C75" s="4">
        <v>6.375</v>
      </c>
      <c r="D75" s="4">
        <v>40.375</v>
      </c>
      <c r="E75" s="4" t="s">
        <v>25</v>
      </c>
      <c r="F75" s="4">
        <v>54.005000000000003</v>
      </c>
      <c r="G75" s="4">
        <v>4</v>
      </c>
      <c r="H75" s="4">
        <v>290</v>
      </c>
      <c r="I75" s="4">
        <v>112.2</v>
      </c>
      <c r="J75" s="4">
        <v>72</v>
      </c>
      <c r="K75" s="4">
        <v>196.7</v>
      </c>
      <c r="L75" s="4">
        <v>3.89</v>
      </c>
      <c r="M75" s="4">
        <v>22.5</v>
      </c>
      <c r="N75" s="4">
        <v>22</v>
      </c>
      <c r="O75" s="4" t="s">
        <v>187</v>
      </c>
      <c r="P75" s="4">
        <v>124.44671630000001</v>
      </c>
    </row>
    <row r="76" spans="1:16" ht="15" customHeight="1" x14ac:dyDescent="0.35">
      <c r="A76" s="3" t="s">
        <v>179</v>
      </c>
      <c r="B76" s="3" t="s">
        <v>188</v>
      </c>
      <c r="C76" s="3">
        <v>9.1259999999999994</v>
      </c>
      <c r="D76" s="3"/>
      <c r="E76" s="3" t="s">
        <v>66</v>
      </c>
      <c r="F76" s="3">
        <v>60.104999999999997</v>
      </c>
      <c r="G76" s="3">
        <v>4.7</v>
      </c>
      <c r="H76" s="3">
        <v>230</v>
      </c>
      <c r="I76" s="3">
        <v>112.2</v>
      </c>
      <c r="J76" s="3">
        <v>76.400000000000006</v>
      </c>
      <c r="K76" s="3">
        <v>192.5</v>
      </c>
      <c r="L76" s="3">
        <v>5.4009999999999998</v>
      </c>
      <c r="M76" s="3">
        <v>25.4</v>
      </c>
      <c r="N76" s="3">
        <v>15</v>
      </c>
      <c r="O76" s="3" t="s">
        <v>189</v>
      </c>
      <c r="P76" s="3">
        <v>105.760458</v>
      </c>
    </row>
    <row r="77" spans="1:16" ht="15" customHeight="1" x14ac:dyDescent="0.35">
      <c r="A77" s="4" t="s">
        <v>179</v>
      </c>
      <c r="B77" s="4" t="s">
        <v>190</v>
      </c>
      <c r="C77" s="4">
        <v>51.238</v>
      </c>
      <c r="D77" s="4"/>
      <c r="E77" s="4" t="s">
        <v>66</v>
      </c>
      <c r="F77" s="4">
        <v>34.604999999999997</v>
      </c>
      <c r="G77" s="4">
        <v>3</v>
      </c>
      <c r="H77" s="4">
        <v>220</v>
      </c>
      <c r="I77" s="4">
        <v>103</v>
      </c>
      <c r="J77" s="4">
        <v>71.5</v>
      </c>
      <c r="K77" s="4">
        <v>180.1</v>
      </c>
      <c r="L77" s="4">
        <v>3.9</v>
      </c>
      <c r="M77" s="4">
        <v>17.2</v>
      </c>
      <c r="N77" s="4">
        <v>21</v>
      </c>
      <c r="O77" s="4" t="s">
        <v>30</v>
      </c>
      <c r="P77" s="4">
        <v>91.943801559999997</v>
      </c>
    </row>
    <row r="78" spans="1:16" ht="15" customHeight="1" x14ac:dyDescent="0.35">
      <c r="A78" s="3" t="s">
        <v>191</v>
      </c>
      <c r="B78" s="3" t="s">
        <v>192</v>
      </c>
      <c r="C78" s="3">
        <v>13.798</v>
      </c>
      <c r="D78" s="3">
        <v>20.524999999999999</v>
      </c>
      <c r="E78" s="3" t="s">
        <v>25</v>
      </c>
      <c r="F78" s="3">
        <v>39.08</v>
      </c>
      <c r="G78" s="3">
        <v>4.5999999999999996</v>
      </c>
      <c r="H78" s="3">
        <v>275</v>
      </c>
      <c r="I78" s="3">
        <v>109</v>
      </c>
      <c r="J78" s="3">
        <v>73.599999999999994</v>
      </c>
      <c r="K78" s="3">
        <v>208.5</v>
      </c>
      <c r="L78" s="3">
        <v>3.8679999999999999</v>
      </c>
      <c r="M78" s="3">
        <v>20</v>
      </c>
      <c r="N78" s="3">
        <v>22</v>
      </c>
      <c r="O78" s="3" t="s">
        <v>193</v>
      </c>
      <c r="P78" s="3">
        <v>113.5402069</v>
      </c>
    </row>
    <row r="79" spans="1:16" ht="15" customHeight="1" x14ac:dyDescent="0.35">
      <c r="A79" s="4" t="s">
        <v>191</v>
      </c>
      <c r="B79" s="4" t="s">
        <v>194</v>
      </c>
      <c r="C79" s="4">
        <v>48.911000000000001</v>
      </c>
      <c r="D79" s="4">
        <v>21.725000000000001</v>
      </c>
      <c r="E79" s="4" t="s">
        <v>25</v>
      </c>
      <c r="F79" s="4">
        <v>43.33</v>
      </c>
      <c r="G79" s="4">
        <v>4.5999999999999996</v>
      </c>
      <c r="H79" s="4">
        <v>215</v>
      </c>
      <c r="I79" s="4">
        <v>117.7</v>
      </c>
      <c r="J79" s="4">
        <v>78.2</v>
      </c>
      <c r="K79" s="4">
        <v>215.3</v>
      </c>
      <c r="L79" s="4">
        <v>4.1210000000000004</v>
      </c>
      <c r="M79" s="4">
        <v>19</v>
      </c>
      <c r="N79" s="4">
        <v>21</v>
      </c>
      <c r="O79" s="4" t="s">
        <v>195</v>
      </c>
      <c r="P79" s="4">
        <v>93.957916900000001</v>
      </c>
    </row>
    <row r="80" spans="1:16" ht="15" customHeight="1" x14ac:dyDescent="0.35">
      <c r="A80" s="3" t="s">
        <v>191</v>
      </c>
      <c r="B80" s="3" t="s">
        <v>196</v>
      </c>
      <c r="C80" s="3">
        <v>22.925000000000001</v>
      </c>
      <c r="D80" s="3"/>
      <c r="E80" s="3" t="s">
        <v>66</v>
      </c>
      <c r="F80" s="3">
        <v>42.66</v>
      </c>
      <c r="G80" s="3">
        <v>5.4</v>
      </c>
      <c r="H80" s="3">
        <v>300</v>
      </c>
      <c r="I80" s="3">
        <v>119</v>
      </c>
      <c r="J80" s="3">
        <v>79.900000000000006</v>
      </c>
      <c r="K80" s="3">
        <v>204.8</v>
      </c>
      <c r="L80" s="3">
        <v>5.3929999999999998</v>
      </c>
      <c r="M80" s="3">
        <v>30</v>
      </c>
      <c r="N80" s="3">
        <v>15</v>
      </c>
      <c r="O80" s="3" t="s">
        <v>197</v>
      </c>
      <c r="P80" s="3">
        <v>123.97204670000001</v>
      </c>
    </row>
    <row r="81" spans="1:16" ht="15" customHeight="1" x14ac:dyDescent="0.35">
      <c r="A81" s="4" t="s">
        <v>198</v>
      </c>
      <c r="B81" s="4" t="s">
        <v>199</v>
      </c>
      <c r="C81" s="4">
        <v>26.231999999999999</v>
      </c>
      <c r="D81" s="4">
        <v>8.3249999999999993</v>
      </c>
      <c r="E81" s="4" t="s">
        <v>25</v>
      </c>
      <c r="F81" s="4">
        <v>13.987</v>
      </c>
      <c r="G81" s="4">
        <v>1.8</v>
      </c>
      <c r="H81" s="4">
        <v>113</v>
      </c>
      <c r="I81" s="4">
        <v>98.4</v>
      </c>
      <c r="J81" s="4">
        <v>66.5</v>
      </c>
      <c r="K81" s="4">
        <v>173.6</v>
      </c>
      <c r="L81" s="4">
        <v>2.25</v>
      </c>
      <c r="M81" s="4">
        <v>13.2</v>
      </c>
      <c r="N81" s="4">
        <v>30</v>
      </c>
      <c r="O81" s="4" t="s">
        <v>200</v>
      </c>
      <c r="P81" s="4">
        <v>45.832180559999998</v>
      </c>
    </row>
    <row r="82" spans="1:16" ht="15" customHeight="1" x14ac:dyDescent="0.35">
      <c r="A82" s="3" t="s">
        <v>198</v>
      </c>
      <c r="B82" s="3" t="s">
        <v>201</v>
      </c>
      <c r="C82" s="3">
        <v>42.540999999999997</v>
      </c>
      <c r="D82" s="3">
        <v>10.395</v>
      </c>
      <c r="E82" s="3" t="s">
        <v>25</v>
      </c>
      <c r="F82" s="3">
        <v>19.047000000000001</v>
      </c>
      <c r="G82" s="3">
        <v>2.4</v>
      </c>
      <c r="H82" s="3">
        <v>154</v>
      </c>
      <c r="I82" s="3">
        <v>100.8</v>
      </c>
      <c r="J82" s="3">
        <v>68.900000000000006</v>
      </c>
      <c r="K82" s="3">
        <v>175.4</v>
      </c>
      <c r="L82" s="3">
        <v>2.91</v>
      </c>
      <c r="M82" s="3">
        <v>15.9</v>
      </c>
      <c r="N82" s="3">
        <v>24</v>
      </c>
      <c r="O82" s="3" t="s">
        <v>202</v>
      </c>
      <c r="P82" s="3">
        <v>62.441962349999997</v>
      </c>
    </row>
    <row r="83" spans="1:16" ht="15" customHeight="1" x14ac:dyDescent="0.35">
      <c r="A83" s="4" t="s">
        <v>198</v>
      </c>
      <c r="B83" s="4" t="s">
        <v>203</v>
      </c>
      <c r="C83" s="4">
        <v>55.616</v>
      </c>
      <c r="D83" s="4">
        <v>10.595000000000001</v>
      </c>
      <c r="E83" s="4" t="s">
        <v>25</v>
      </c>
      <c r="F83" s="4">
        <v>17.356999999999999</v>
      </c>
      <c r="G83" s="4">
        <v>2.4</v>
      </c>
      <c r="H83" s="4">
        <v>145</v>
      </c>
      <c r="I83" s="4">
        <v>103.7</v>
      </c>
      <c r="J83" s="4">
        <v>68.5</v>
      </c>
      <c r="K83" s="4">
        <v>187.8</v>
      </c>
      <c r="L83" s="4">
        <v>2.9449999999999998</v>
      </c>
      <c r="M83" s="4">
        <v>16.3</v>
      </c>
      <c r="N83" s="4">
        <v>25</v>
      </c>
      <c r="O83" s="4" t="s">
        <v>44</v>
      </c>
      <c r="P83" s="4">
        <v>58.606772919999997</v>
      </c>
    </row>
    <row r="84" spans="1:16" ht="15" customHeight="1" x14ac:dyDescent="0.35">
      <c r="A84" s="3" t="s">
        <v>198</v>
      </c>
      <c r="B84" s="3" t="s">
        <v>204</v>
      </c>
      <c r="C84" s="3">
        <v>5.7110000000000003</v>
      </c>
      <c r="D84" s="3">
        <v>16.574999999999999</v>
      </c>
      <c r="E84" s="3" t="s">
        <v>25</v>
      </c>
      <c r="F84" s="3">
        <v>24.997</v>
      </c>
      <c r="G84" s="3">
        <v>3.5</v>
      </c>
      <c r="H84" s="3">
        <v>210</v>
      </c>
      <c r="I84" s="3">
        <v>107.1</v>
      </c>
      <c r="J84" s="3">
        <v>70.3</v>
      </c>
      <c r="K84" s="3">
        <v>194.1</v>
      </c>
      <c r="L84" s="3">
        <v>3.4430000000000001</v>
      </c>
      <c r="M84" s="3">
        <v>19</v>
      </c>
      <c r="N84" s="3">
        <v>22</v>
      </c>
      <c r="O84" s="3" t="s">
        <v>205</v>
      </c>
      <c r="P84" s="3">
        <v>84.83077858</v>
      </c>
    </row>
    <row r="85" spans="1:16" ht="15" customHeight="1" x14ac:dyDescent="0.35">
      <c r="A85" s="4" t="s">
        <v>198</v>
      </c>
      <c r="B85" s="4" t="s">
        <v>206</v>
      </c>
      <c r="C85" s="4">
        <v>0.11</v>
      </c>
      <c r="D85" s="4">
        <v>20.94</v>
      </c>
      <c r="E85" s="4" t="s">
        <v>25</v>
      </c>
      <c r="F85" s="4">
        <v>25.45</v>
      </c>
      <c r="G85" s="4">
        <v>3</v>
      </c>
      <c r="H85" s="4">
        <v>161</v>
      </c>
      <c r="I85" s="4">
        <v>97.2</v>
      </c>
      <c r="J85" s="4">
        <v>72.400000000000006</v>
      </c>
      <c r="K85" s="4">
        <v>180.3</v>
      </c>
      <c r="L85" s="4">
        <v>3.1309999999999998</v>
      </c>
      <c r="M85" s="4">
        <v>19.8</v>
      </c>
      <c r="N85" s="4">
        <v>21</v>
      </c>
      <c r="O85" s="4" t="s">
        <v>207</v>
      </c>
      <c r="P85" s="4">
        <v>67.544154939999999</v>
      </c>
    </row>
    <row r="86" spans="1:16" ht="15" customHeight="1" x14ac:dyDescent="0.35">
      <c r="A86" s="3" t="s">
        <v>198</v>
      </c>
      <c r="B86" s="3" t="s">
        <v>208</v>
      </c>
      <c r="C86" s="3">
        <v>11.337</v>
      </c>
      <c r="D86" s="3">
        <v>19.125</v>
      </c>
      <c r="E86" s="3" t="s">
        <v>66</v>
      </c>
      <c r="F86" s="3">
        <v>31.806999999999999</v>
      </c>
      <c r="G86" s="3">
        <v>3.5</v>
      </c>
      <c r="H86" s="3">
        <v>200</v>
      </c>
      <c r="I86" s="3">
        <v>107.3</v>
      </c>
      <c r="J86" s="3">
        <v>69.900000000000006</v>
      </c>
      <c r="K86" s="3">
        <v>186.6</v>
      </c>
      <c r="L86" s="3">
        <v>4.5199999999999996</v>
      </c>
      <c r="M86" s="3">
        <v>24.3</v>
      </c>
      <c r="N86" s="3">
        <v>18</v>
      </c>
      <c r="O86" s="3" t="s">
        <v>209</v>
      </c>
      <c r="P86" s="3">
        <v>83.920815039999994</v>
      </c>
    </row>
    <row r="87" spans="1:16" ht="15" customHeight="1" x14ac:dyDescent="0.35">
      <c r="A87" s="4" t="s">
        <v>198</v>
      </c>
      <c r="B87" s="4" t="s">
        <v>210</v>
      </c>
      <c r="C87" s="4">
        <v>39.347999999999999</v>
      </c>
      <c r="D87" s="4">
        <v>13.88</v>
      </c>
      <c r="E87" s="4" t="s">
        <v>66</v>
      </c>
      <c r="F87" s="4">
        <v>22.527000000000001</v>
      </c>
      <c r="G87" s="4">
        <v>3</v>
      </c>
      <c r="H87" s="4">
        <v>173</v>
      </c>
      <c r="I87" s="4">
        <v>107.3</v>
      </c>
      <c r="J87" s="4">
        <v>66.7</v>
      </c>
      <c r="K87" s="4">
        <v>178.3</v>
      </c>
      <c r="L87" s="4">
        <v>3.51</v>
      </c>
      <c r="M87" s="4">
        <v>19.5</v>
      </c>
      <c r="N87" s="4">
        <v>20</v>
      </c>
      <c r="O87" s="4" t="s">
        <v>211</v>
      </c>
      <c r="P87" s="4">
        <v>70.660941789999995</v>
      </c>
    </row>
    <row r="88" spans="1:16" ht="15" customHeight="1" x14ac:dyDescent="0.35">
      <c r="A88" s="3" t="s">
        <v>212</v>
      </c>
      <c r="B88" s="3" t="s">
        <v>213</v>
      </c>
      <c r="C88" s="3">
        <v>14.351000000000001</v>
      </c>
      <c r="D88" s="3">
        <v>8.8000000000000007</v>
      </c>
      <c r="E88" s="3" t="s">
        <v>25</v>
      </c>
      <c r="F88" s="3">
        <v>16.239999999999998</v>
      </c>
      <c r="G88" s="3">
        <v>2</v>
      </c>
      <c r="H88" s="3">
        <v>125</v>
      </c>
      <c r="I88" s="3">
        <v>106.5</v>
      </c>
      <c r="J88" s="3">
        <v>69.099999999999994</v>
      </c>
      <c r="K88" s="3">
        <v>184.8</v>
      </c>
      <c r="L88" s="3">
        <v>2.7690000000000001</v>
      </c>
      <c r="M88" s="3">
        <v>15</v>
      </c>
      <c r="N88" s="3">
        <v>28</v>
      </c>
      <c r="O88" s="3" t="s">
        <v>214</v>
      </c>
      <c r="P88" s="3">
        <v>50.997747609999998</v>
      </c>
    </row>
    <row r="89" spans="1:16" ht="15" customHeight="1" x14ac:dyDescent="0.35">
      <c r="A89" s="4" t="s">
        <v>212</v>
      </c>
      <c r="B89" s="4" t="s">
        <v>215</v>
      </c>
      <c r="C89" s="4">
        <v>26.529</v>
      </c>
      <c r="D89" s="4">
        <v>13.89</v>
      </c>
      <c r="E89" s="4" t="s">
        <v>25</v>
      </c>
      <c r="F89" s="4">
        <v>16.54</v>
      </c>
      <c r="G89" s="4">
        <v>2</v>
      </c>
      <c r="H89" s="4">
        <v>125</v>
      </c>
      <c r="I89" s="4">
        <v>106.4</v>
      </c>
      <c r="J89" s="4">
        <v>69.599999999999994</v>
      </c>
      <c r="K89" s="4">
        <v>185</v>
      </c>
      <c r="L89" s="4">
        <v>2.8919999999999999</v>
      </c>
      <c r="M89" s="4">
        <v>16</v>
      </c>
      <c r="N89" s="4">
        <v>30</v>
      </c>
      <c r="O89" s="4" t="s">
        <v>58</v>
      </c>
      <c r="P89" s="4">
        <v>51.113474259999997</v>
      </c>
    </row>
    <row r="90" spans="1:16" ht="15" customHeight="1" x14ac:dyDescent="0.35">
      <c r="A90" s="3" t="s">
        <v>212</v>
      </c>
      <c r="B90" s="3" t="s">
        <v>216</v>
      </c>
      <c r="C90" s="3">
        <v>67.956000000000003</v>
      </c>
      <c r="D90" s="3">
        <v>11.03</v>
      </c>
      <c r="E90" s="3" t="s">
        <v>25</v>
      </c>
      <c r="F90" s="3">
        <v>19.035</v>
      </c>
      <c r="G90" s="3">
        <v>3</v>
      </c>
      <c r="H90" s="3">
        <v>153</v>
      </c>
      <c r="I90" s="3">
        <v>108.5</v>
      </c>
      <c r="J90" s="3">
        <v>73</v>
      </c>
      <c r="K90" s="3">
        <v>199.7</v>
      </c>
      <c r="L90" s="3">
        <v>3.379</v>
      </c>
      <c r="M90" s="3">
        <v>16</v>
      </c>
      <c r="N90" s="3">
        <v>24</v>
      </c>
      <c r="O90" s="3" t="s">
        <v>217</v>
      </c>
      <c r="P90" s="3">
        <v>62.239966629999998</v>
      </c>
    </row>
    <row r="91" spans="1:16" ht="15" customHeight="1" x14ac:dyDescent="0.35">
      <c r="A91" s="4" t="s">
        <v>212</v>
      </c>
      <c r="B91" s="4" t="s">
        <v>218</v>
      </c>
      <c r="C91" s="4">
        <v>81.174000000000007</v>
      </c>
      <c r="D91" s="4">
        <v>14.875</v>
      </c>
      <c r="E91" s="4" t="s">
        <v>25</v>
      </c>
      <c r="F91" s="4">
        <v>22.605</v>
      </c>
      <c r="G91" s="4">
        <v>4.5999999999999996</v>
      </c>
      <c r="H91" s="4">
        <v>200</v>
      </c>
      <c r="I91" s="4">
        <v>114.7</v>
      </c>
      <c r="J91" s="4">
        <v>78.2</v>
      </c>
      <c r="K91" s="4">
        <v>212</v>
      </c>
      <c r="L91" s="4">
        <v>3.9580000000000002</v>
      </c>
      <c r="M91" s="4">
        <v>19</v>
      </c>
      <c r="N91" s="4">
        <v>21</v>
      </c>
      <c r="O91" s="4" t="s">
        <v>219</v>
      </c>
      <c r="P91" s="4">
        <v>80.657696459999997</v>
      </c>
    </row>
    <row r="92" spans="1:16" ht="15" customHeight="1" x14ac:dyDescent="0.35">
      <c r="A92" s="3" t="s">
        <v>212</v>
      </c>
      <c r="B92" s="3" t="s">
        <v>220</v>
      </c>
      <c r="C92" s="3">
        <v>27.609000000000002</v>
      </c>
      <c r="D92" s="3">
        <v>20.43</v>
      </c>
      <c r="E92" s="3" t="s">
        <v>66</v>
      </c>
      <c r="F92" s="3">
        <v>27.56</v>
      </c>
      <c r="G92" s="3">
        <v>4</v>
      </c>
      <c r="H92" s="3">
        <v>210</v>
      </c>
      <c r="I92" s="3">
        <v>111.6</v>
      </c>
      <c r="J92" s="3">
        <v>70.2</v>
      </c>
      <c r="K92" s="3">
        <v>190.1</v>
      </c>
      <c r="L92" s="3">
        <v>3.8759999999999999</v>
      </c>
      <c r="M92" s="3">
        <v>21</v>
      </c>
      <c r="N92" s="3">
        <v>18</v>
      </c>
      <c r="O92" s="3" t="s">
        <v>221</v>
      </c>
      <c r="P92" s="3">
        <v>85.949744249999995</v>
      </c>
    </row>
    <row r="93" spans="1:16" ht="15" customHeight="1" x14ac:dyDescent="0.35">
      <c r="A93" s="4" t="s">
        <v>212</v>
      </c>
      <c r="B93" s="4" t="s">
        <v>222</v>
      </c>
      <c r="C93" s="4">
        <v>20.38</v>
      </c>
      <c r="D93" s="4">
        <v>14.795</v>
      </c>
      <c r="E93" s="4" t="s">
        <v>66</v>
      </c>
      <c r="F93" s="4">
        <v>22.51</v>
      </c>
      <c r="G93" s="4">
        <v>3.3</v>
      </c>
      <c r="H93" s="4">
        <v>170</v>
      </c>
      <c r="I93" s="4">
        <v>112.2</v>
      </c>
      <c r="J93" s="4">
        <v>74.900000000000006</v>
      </c>
      <c r="K93" s="4">
        <v>194.7</v>
      </c>
      <c r="L93" s="4">
        <v>3.944</v>
      </c>
      <c r="M93" s="4">
        <v>20</v>
      </c>
      <c r="N93" s="4">
        <v>21</v>
      </c>
      <c r="O93" s="4" t="s">
        <v>223</v>
      </c>
      <c r="P93" s="4">
        <v>69.671460999999994</v>
      </c>
    </row>
    <row r="94" spans="1:16" ht="15" customHeight="1" x14ac:dyDescent="0.35">
      <c r="A94" s="3" t="s">
        <v>224</v>
      </c>
      <c r="B94" s="3" t="s">
        <v>225</v>
      </c>
      <c r="C94" s="3">
        <v>18.391999999999999</v>
      </c>
      <c r="D94" s="3">
        <v>26.05</v>
      </c>
      <c r="E94" s="3" t="s">
        <v>25</v>
      </c>
      <c r="F94" s="3">
        <v>31.75</v>
      </c>
      <c r="G94" s="3">
        <v>2.2999999999999998</v>
      </c>
      <c r="H94" s="3">
        <v>185</v>
      </c>
      <c r="I94" s="3">
        <v>105.9</v>
      </c>
      <c r="J94" s="3">
        <v>67.7</v>
      </c>
      <c r="K94" s="3">
        <v>177.4</v>
      </c>
      <c r="L94" s="3">
        <v>3.25</v>
      </c>
      <c r="M94" s="3">
        <v>16.399999999999999</v>
      </c>
      <c r="N94" s="3">
        <v>26</v>
      </c>
      <c r="O94" s="3" t="s">
        <v>226</v>
      </c>
      <c r="P94" s="3">
        <v>78.280730879999993</v>
      </c>
    </row>
    <row r="95" spans="1:16" ht="15" customHeight="1" x14ac:dyDescent="0.35">
      <c r="A95" s="4" t="s">
        <v>224</v>
      </c>
      <c r="B95" s="4" t="s">
        <v>227</v>
      </c>
      <c r="C95" s="4">
        <v>27.602</v>
      </c>
      <c r="D95" s="4">
        <v>41.45</v>
      </c>
      <c r="E95" s="4" t="s">
        <v>25</v>
      </c>
      <c r="F95" s="4">
        <v>49.9</v>
      </c>
      <c r="G95" s="4">
        <v>3.2</v>
      </c>
      <c r="H95" s="4">
        <v>221</v>
      </c>
      <c r="I95" s="4">
        <v>111.5</v>
      </c>
      <c r="J95" s="4">
        <v>70.8</v>
      </c>
      <c r="K95" s="4">
        <v>189.4</v>
      </c>
      <c r="L95" s="4">
        <v>3.823</v>
      </c>
      <c r="M95" s="4">
        <v>21.1</v>
      </c>
      <c r="N95" s="4">
        <v>25</v>
      </c>
      <c r="O95" s="4" t="s">
        <v>228</v>
      </c>
      <c r="P95" s="4">
        <v>98.249737499999995</v>
      </c>
    </row>
    <row r="96" spans="1:16" ht="15" customHeight="1" x14ac:dyDescent="0.35">
      <c r="A96" s="3" t="s">
        <v>224</v>
      </c>
      <c r="B96" s="3" t="s">
        <v>229</v>
      </c>
      <c r="C96" s="3">
        <v>16.774000000000001</v>
      </c>
      <c r="D96" s="3">
        <v>50.375</v>
      </c>
      <c r="E96" s="3" t="s">
        <v>25</v>
      </c>
      <c r="F96" s="3">
        <v>69.7</v>
      </c>
      <c r="G96" s="3">
        <v>4.3</v>
      </c>
      <c r="H96" s="3">
        <v>275</v>
      </c>
      <c r="I96" s="3">
        <v>121.5</v>
      </c>
      <c r="J96" s="3">
        <v>73.099999999999994</v>
      </c>
      <c r="K96" s="3">
        <v>203.1</v>
      </c>
      <c r="L96" s="3">
        <v>4.133</v>
      </c>
      <c r="M96" s="3">
        <v>23.2</v>
      </c>
      <c r="N96" s="3">
        <v>21</v>
      </c>
      <c r="O96" s="3" t="s">
        <v>230</v>
      </c>
      <c r="P96" s="3">
        <v>125.2738757</v>
      </c>
    </row>
    <row r="97" spans="1:16" ht="15" customHeight="1" x14ac:dyDescent="0.35">
      <c r="A97" s="4" t="s">
        <v>224</v>
      </c>
      <c r="B97" s="4" t="s">
        <v>231</v>
      </c>
      <c r="C97" s="4">
        <v>3.3109999999999999</v>
      </c>
      <c r="D97" s="4">
        <v>58.6</v>
      </c>
      <c r="E97" s="4" t="s">
        <v>25</v>
      </c>
      <c r="F97" s="4">
        <v>82.6</v>
      </c>
      <c r="G97" s="4">
        <v>5</v>
      </c>
      <c r="H97" s="4">
        <v>302</v>
      </c>
      <c r="I97" s="4">
        <v>99</v>
      </c>
      <c r="J97" s="4">
        <v>71.3</v>
      </c>
      <c r="K97" s="4">
        <v>177.1</v>
      </c>
      <c r="L97" s="4">
        <v>4.125</v>
      </c>
      <c r="M97" s="4">
        <v>21.1</v>
      </c>
      <c r="N97" s="4">
        <v>20</v>
      </c>
      <c r="O97" s="4" t="s">
        <v>232</v>
      </c>
      <c r="P97" s="4">
        <v>139.98229359999999</v>
      </c>
    </row>
    <row r="98" spans="1:16" ht="15" customHeight="1" x14ac:dyDescent="0.35">
      <c r="A98" s="3" t="s">
        <v>224</v>
      </c>
      <c r="B98" s="3" t="s">
        <v>233</v>
      </c>
      <c r="C98" s="3">
        <v>7.9980000000000002</v>
      </c>
      <c r="D98" s="3"/>
      <c r="E98" s="3" t="s">
        <v>25</v>
      </c>
      <c r="F98" s="3">
        <v>38.9</v>
      </c>
      <c r="G98" s="3">
        <v>2.2999999999999998</v>
      </c>
      <c r="H98" s="3">
        <v>190</v>
      </c>
      <c r="I98" s="3">
        <v>94.5</v>
      </c>
      <c r="J98" s="3">
        <v>67.5</v>
      </c>
      <c r="K98" s="3">
        <v>157.9</v>
      </c>
      <c r="L98" s="3">
        <v>3.0550000000000002</v>
      </c>
      <c r="M98" s="3">
        <v>15.9</v>
      </c>
      <c r="N98" s="3">
        <v>26</v>
      </c>
      <c r="O98" s="3" t="s">
        <v>234</v>
      </c>
      <c r="P98" s="3">
        <v>82.807361929999999</v>
      </c>
    </row>
    <row r="99" spans="1:16" ht="15" customHeight="1" x14ac:dyDescent="0.35">
      <c r="A99" s="4" t="s">
        <v>224</v>
      </c>
      <c r="B99" s="4" t="s">
        <v>235</v>
      </c>
      <c r="C99" s="4">
        <v>1.526</v>
      </c>
      <c r="D99" s="4"/>
      <c r="E99" s="4" t="s">
        <v>25</v>
      </c>
      <c r="F99" s="4">
        <v>41</v>
      </c>
      <c r="G99" s="4">
        <v>2.2999999999999998</v>
      </c>
      <c r="H99" s="4">
        <v>185</v>
      </c>
      <c r="I99" s="4">
        <v>94.5</v>
      </c>
      <c r="J99" s="4">
        <v>67.5</v>
      </c>
      <c r="K99" s="4">
        <v>157.30000000000001</v>
      </c>
      <c r="L99" s="4">
        <v>2.9750000000000001</v>
      </c>
      <c r="M99" s="4">
        <v>14</v>
      </c>
      <c r="N99" s="4">
        <v>27</v>
      </c>
      <c r="O99" s="4" t="s">
        <v>236</v>
      </c>
      <c r="P99" s="4">
        <v>81.848969240000002</v>
      </c>
    </row>
    <row r="100" spans="1:16" ht="15" customHeight="1" x14ac:dyDescent="0.35">
      <c r="A100" s="3" t="s">
        <v>224</v>
      </c>
      <c r="B100" s="3" t="s">
        <v>237</v>
      </c>
      <c r="C100" s="3">
        <v>11.592000000000001</v>
      </c>
      <c r="D100" s="3"/>
      <c r="E100" s="3" t="s">
        <v>25</v>
      </c>
      <c r="F100" s="3">
        <v>41.6</v>
      </c>
      <c r="G100" s="3">
        <v>3.2</v>
      </c>
      <c r="H100" s="3">
        <v>215</v>
      </c>
      <c r="I100" s="3">
        <v>105.9</v>
      </c>
      <c r="J100" s="3">
        <v>67.8</v>
      </c>
      <c r="K100" s="3">
        <v>180.3</v>
      </c>
      <c r="L100" s="3">
        <v>3.2130000000000001</v>
      </c>
      <c r="M100" s="3">
        <v>16.399999999999999</v>
      </c>
      <c r="N100" s="3">
        <v>26</v>
      </c>
      <c r="O100" s="3" t="s">
        <v>238</v>
      </c>
      <c r="P100" s="3">
        <v>92.925791770000004</v>
      </c>
    </row>
    <row r="101" spans="1:16" ht="15" customHeight="1" x14ac:dyDescent="0.35">
      <c r="A101" s="4" t="s">
        <v>224</v>
      </c>
      <c r="B101" s="4" t="s">
        <v>239</v>
      </c>
      <c r="C101" s="4">
        <v>0.95399999999999996</v>
      </c>
      <c r="D101" s="4"/>
      <c r="E101" s="4" t="s">
        <v>25</v>
      </c>
      <c r="F101" s="4">
        <v>85.5</v>
      </c>
      <c r="G101" s="4">
        <v>5</v>
      </c>
      <c r="H101" s="4">
        <v>302</v>
      </c>
      <c r="I101" s="4">
        <v>113.6</v>
      </c>
      <c r="J101" s="4">
        <v>73.099999999999994</v>
      </c>
      <c r="K101" s="4">
        <v>196.6</v>
      </c>
      <c r="L101" s="4">
        <v>4.1150000000000002</v>
      </c>
      <c r="M101" s="4">
        <v>23.2</v>
      </c>
      <c r="N101" s="4">
        <v>20</v>
      </c>
      <c r="O101" s="4" t="s">
        <v>240</v>
      </c>
      <c r="P101" s="4">
        <v>141.10098450000001</v>
      </c>
    </row>
    <row r="102" spans="1:16" ht="15" customHeight="1" x14ac:dyDescent="0.35">
      <c r="A102" s="3" t="s">
        <v>224</v>
      </c>
      <c r="B102" s="3" t="s">
        <v>241</v>
      </c>
      <c r="C102" s="3">
        <v>28.975999999999999</v>
      </c>
      <c r="D102" s="3"/>
      <c r="E102" s="3" t="s">
        <v>66</v>
      </c>
      <c r="F102" s="3">
        <v>35.299999999999997</v>
      </c>
      <c r="G102" s="3">
        <v>3.2</v>
      </c>
      <c r="H102" s="3">
        <v>215</v>
      </c>
      <c r="I102" s="3">
        <v>111</v>
      </c>
      <c r="J102" s="3">
        <v>72.2</v>
      </c>
      <c r="K102" s="3">
        <v>180.6</v>
      </c>
      <c r="L102" s="3">
        <v>4.3869999999999996</v>
      </c>
      <c r="M102" s="3">
        <v>19</v>
      </c>
      <c r="N102" s="3">
        <v>20</v>
      </c>
      <c r="O102" s="3" t="s">
        <v>242</v>
      </c>
      <c r="P102" s="3">
        <v>90.495532130000001</v>
      </c>
    </row>
    <row r="103" spans="1:16" ht="15" customHeight="1" x14ac:dyDescent="0.35">
      <c r="A103" s="4" t="s">
        <v>243</v>
      </c>
      <c r="B103" s="4" t="s">
        <v>244</v>
      </c>
      <c r="C103" s="4">
        <v>42.643000000000001</v>
      </c>
      <c r="D103" s="4">
        <v>8.4499999999999993</v>
      </c>
      <c r="E103" s="4" t="s">
        <v>25</v>
      </c>
      <c r="F103" s="4">
        <v>13.499000000000001</v>
      </c>
      <c r="G103" s="4">
        <v>1.8</v>
      </c>
      <c r="H103" s="4">
        <v>126</v>
      </c>
      <c r="I103" s="4">
        <v>99.8</v>
      </c>
      <c r="J103" s="4">
        <v>67.3</v>
      </c>
      <c r="K103" s="4">
        <v>177.5</v>
      </c>
      <c r="L103" s="4">
        <v>2.593</v>
      </c>
      <c r="M103" s="4">
        <v>13.2</v>
      </c>
      <c r="N103" s="4">
        <v>30</v>
      </c>
      <c r="O103" s="4" t="s">
        <v>245</v>
      </c>
      <c r="P103" s="4">
        <v>50.241977910000003</v>
      </c>
    </row>
    <row r="104" spans="1:16" ht="15" customHeight="1" x14ac:dyDescent="0.35">
      <c r="A104" s="3" t="s">
        <v>243</v>
      </c>
      <c r="B104" s="3" t="s">
        <v>246</v>
      </c>
      <c r="C104" s="3">
        <v>88.093999999999994</v>
      </c>
      <c r="D104" s="3">
        <v>11.295</v>
      </c>
      <c r="E104" s="3" t="s">
        <v>25</v>
      </c>
      <c r="F104" s="3">
        <v>20.39</v>
      </c>
      <c r="G104" s="3">
        <v>2.4</v>
      </c>
      <c r="H104" s="3">
        <v>155</v>
      </c>
      <c r="I104" s="3">
        <v>103.1</v>
      </c>
      <c r="J104" s="3">
        <v>69.099999999999994</v>
      </c>
      <c r="K104" s="3">
        <v>183.5</v>
      </c>
      <c r="L104" s="3">
        <v>3.012</v>
      </c>
      <c r="M104" s="3">
        <v>15.9</v>
      </c>
      <c r="N104" s="3">
        <v>25</v>
      </c>
      <c r="O104" s="3" t="s">
        <v>247</v>
      </c>
      <c r="P104" s="3">
        <v>63.313727829999998</v>
      </c>
    </row>
    <row r="105" spans="1:16" ht="15" customHeight="1" x14ac:dyDescent="0.35">
      <c r="A105" s="4" t="s">
        <v>243</v>
      </c>
      <c r="B105" s="4" t="s">
        <v>248</v>
      </c>
      <c r="C105" s="4">
        <v>79.852999999999994</v>
      </c>
      <c r="D105" s="4">
        <v>15.125</v>
      </c>
      <c r="E105" s="4" t="s">
        <v>25</v>
      </c>
      <c r="F105" s="4">
        <v>26.248999999999999</v>
      </c>
      <c r="G105" s="4">
        <v>3</v>
      </c>
      <c r="H105" s="4">
        <v>222</v>
      </c>
      <c r="I105" s="4">
        <v>108.3</v>
      </c>
      <c r="J105" s="4">
        <v>70.3</v>
      </c>
      <c r="K105" s="4">
        <v>190.5</v>
      </c>
      <c r="L105" s="4">
        <v>3.294</v>
      </c>
      <c r="M105" s="4">
        <v>18.5</v>
      </c>
      <c r="N105" s="4">
        <v>25</v>
      </c>
      <c r="O105" s="4" t="s">
        <v>249</v>
      </c>
      <c r="P105" s="4">
        <v>89.427820310000001</v>
      </c>
    </row>
    <row r="106" spans="1:16" ht="15" customHeight="1" x14ac:dyDescent="0.35">
      <c r="A106" s="3" t="s">
        <v>243</v>
      </c>
      <c r="B106" s="3" t="s">
        <v>250</v>
      </c>
      <c r="C106" s="3">
        <v>27.308</v>
      </c>
      <c r="D106" s="3">
        <v>15.38</v>
      </c>
      <c r="E106" s="3" t="s">
        <v>66</v>
      </c>
      <c r="F106" s="3">
        <v>26.399000000000001</v>
      </c>
      <c r="G106" s="3">
        <v>3.3</v>
      </c>
      <c r="H106" s="3">
        <v>170</v>
      </c>
      <c r="I106" s="3">
        <v>112.2</v>
      </c>
      <c r="J106" s="3">
        <v>74.900000000000006</v>
      </c>
      <c r="K106" s="3">
        <v>194.8</v>
      </c>
      <c r="L106" s="3">
        <v>3.9910000000000001</v>
      </c>
      <c r="M106" s="3">
        <v>20</v>
      </c>
      <c r="N106" s="3">
        <v>21</v>
      </c>
      <c r="O106" s="3" t="s">
        <v>251</v>
      </c>
      <c r="P106" s="3">
        <v>71.171664129999996</v>
      </c>
    </row>
    <row r="107" spans="1:16" ht="15" customHeight="1" x14ac:dyDescent="0.35">
      <c r="A107" s="4" t="s">
        <v>243</v>
      </c>
      <c r="B107" s="4" t="s">
        <v>252</v>
      </c>
      <c r="C107" s="4">
        <v>42.573999999999998</v>
      </c>
      <c r="D107" s="4">
        <v>17.809999999999999</v>
      </c>
      <c r="E107" s="4" t="s">
        <v>66</v>
      </c>
      <c r="F107" s="4">
        <v>29.298999999999999</v>
      </c>
      <c r="G107" s="4">
        <v>3.3</v>
      </c>
      <c r="H107" s="4">
        <v>170</v>
      </c>
      <c r="I107" s="4">
        <v>106.3</v>
      </c>
      <c r="J107" s="4">
        <v>71.7</v>
      </c>
      <c r="K107" s="4">
        <v>182.6</v>
      </c>
      <c r="L107" s="4">
        <v>3.9470000000000001</v>
      </c>
      <c r="M107" s="4">
        <v>21</v>
      </c>
      <c r="N107" s="4">
        <v>19</v>
      </c>
      <c r="O107" s="4" t="s">
        <v>253</v>
      </c>
      <c r="P107" s="4">
        <v>72.290355079999998</v>
      </c>
    </row>
    <row r="108" spans="1:16" ht="15" customHeight="1" x14ac:dyDescent="0.35">
      <c r="A108" s="3" t="s">
        <v>243</v>
      </c>
      <c r="B108" s="3" t="s">
        <v>254</v>
      </c>
      <c r="C108" s="3">
        <v>54.158000000000001</v>
      </c>
      <c r="D108" s="3"/>
      <c r="E108" s="3" t="s">
        <v>66</v>
      </c>
      <c r="F108" s="3">
        <v>22.798999999999999</v>
      </c>
      <c r="G108" s="3">
        <v>3.3</v>
      </c>
      <c r="H108" s="3">
        <v>170</v>
      </c>
      <c r="I108" s="3">
        <v>104.3</v>
      </c>
      <c r="J108" s="3">
        <v>70.400000000000006</v>
      </c>
      <c r="K108" s="3">
        <v>178</v>
      </c>
      <c r="L108" s="3">
        <v>3.8210000000000002</v>
      </c>
      <c r="M108" s="3">
        <v>19.399999999999999</v>
      </c>
      <c r="N108" s="3">
        <v>18</v>
      </c>
      <c r="O108" s="3" t="s">
        <v>255</v>
      </c>
      <c r="P108" s="3">
        <v>69.78294434</v>
      </c>
    </row>
    <row r="109" spans="1:16" ht="15" customHeight="1" x14ac:dyDescent="0.35">
      <c r="A109" s="4" t="s">
        <v>243</v>
      </c>
      <c r="B109" s="4" t="s">
        <v>256</v>
      </c>
      <c r="C109" s="4">
        <v>65.004999999999995</v>
      </c>
      <c r="D109" s="4"/>
      <c r="E109" s="4" t="s">
        <v>66</v>
      </c>
      <c r="F109" s="4">
        <v>17.89</v>
      </c>
      <c r="G109" s="4">
        <v>3.3</v>
      </c>
      <c r="H109" s="4">
        <v>170</v>
      </c>
      <c r="I109" s="4">
        <v>116.1</v>
      </c>
      <c r="J109" s="4">
        <v>66.5</v>
      </c>
      <c r="K109" s="4">
        <v>196.1</v>
      </c>
      <c r="L109" s="4">
        <v>3.2170000000000001</v>
      </c>
      <c r="M109" s="4">
        <v>19.399999999999999</v>
      </c>
      <c r="N109" s="4">
        <v>18</v>
      </c>
      <c r="O109" s="4" t="s">
        <v>257</v>
      </c>
      <c r="P109" s="4">
        <v>67.889270589999995</v>
      </c>
    </row>
    <row r="110" spans="1:16" ht="15" customHeight="1" x14ac:dyDescent="0.35">
      <c r="A110" s="3" t="s">
        <v>258</v>
      </c>
      <c r="B110" s="3" t="s">
        <v>259</v>
      </c>
      <c r="C110" s="3">
        <v>1.1120000000000001</v>
      </c>
      <c r="D110" s="3">
        <v>11.24</v>
      </c>
      <c r="E110" s="3" t="s">
        <v>25</v>
      </c>
      <c r="F110" s="3">
        <v>18.145</v>
      </c>
      <c r="G110" s="3">
        <v>3.1</v>
      </c>
      <c r="H110" s="3">
        <v>150</v>
      </c>
      <c r="I110" s="3">
        <v>107</v>
      </c>
      <c r="J110" s="3">
        <v>69.400000000000006</v>
      </c>
      <c r="K110" s="3">
        <v>192</v>
      </c>
      <c r="L110" s="3">
        <v>3.1019999999999999</v>
      </c>
      <c r="M110" s="3">
        <v>15.2</v>
      </c>
      <c r="N110" s="3">
        <v>25</v>
      </c>
      <c r="O110" s="3" t="s">
        <v>260</v>
      </c>
      <c r="P110" s="3">
        <v>60.861611549999999</v>
      </c>
    </row>
    <row r="111" spans="1:16" ht="15" customHeight="1" x14ac:dyDescent="0.35">
      <c r="A111" s="4" t="s">
        <v>258</v>
      </c>
      <c r="B111" s="4" t="s">
        <v>261</v>
      </c>
      <c r="C111" s="4">
        <v>38.554000000000002</v>
      </c>
      <c r="D111" s="4"/>
      <c r="E111" s="4" t="s">
        <v>25</v>
      </c>
      <c r="F111" s="4">
        <v>24.15</v>
      </c>
      <c r="G111" s="4">
        <v>3.5</v>
      </c>
      <c r="H111" s="4">
        <v>215</v>
      </c>
      <c r="I111" s="4">
        <v>109</v>
      </c>
      <c r="J111" s="4">
        <v>73.599999999999994</v>
      </c>
      <c r="K111" s="4">
        <v>195.9</v>
      </c>
      <c r="L111" s="4">
        <v>3.4550000000000001</v>
      </c>
      <c r="M111" s="4">
        <v>18</v>
      </c>
      <c r="N111" s="4"/>
      <c r="O111" s="4" t="s">
        <v>262</v>
      </c>
      <c r="P111" s="4">
        <v>86.272522910000006</v>
      </c>
    </row>
    <row r="112" spans="1:16" ht="15" customHeight="1" x14ac:dyDescent="0.35">
      <c r="A112" s="3" t="s">
        <v>258</v>
      </c>
      <c r="B112" s="3" t="s">
        <v>263</v>
      </c>
      <c r="C112" s="3">
        <v>80.254999999999995</v>
      </c>
      <c r="D112" s="3"/>
      <c r="E112" s="3" t="s">
        <v>25</v>
      </c>
      <c r="F112" s="3">
        <v>18.27</v>
      </c>
      <c r="G112" s="3">
        <v>2.4</v>
      </c>
      <c r="H112" s="3">
        <v>150</v>
      </c>
      <c r="I112" s="3">
        <v>107</v>
      </c>
      <c r="J112" s="3">
        <v>70.099999999999994</v>
      </c>
      <c r="K112" s="3">
        <v>186.7</v>
      </c>
      <c r="L112" s="3">
        <v>2.9580000000000002</v>
      </c>
      <c r="M112" s="3">
        <v>15</v>
      </c>
      <c r="N112" s="3">
        <v>27</v>
      </c>
      <c r="O112" s="3" t="s">
        <v>223</v>
      </c>
      <c r="P112" s="3">
        <v>60.727446929999999</v>
      </c>
    </row>
    <row r="113" spans="1:16" ht="15" customHeight="1" x14ac:dyDescent="0.35">
      <c r="A113" s="4" t="s">
        <v>258</v>
      </c>
      <c r="B113" s="4" t="s">
        <v>264</v>
      </c>
      <c r="C113" s="4">
        <v>14.69</v>
      </c>
      <c r="D113" s="4">
        <v>19.89</v>
      </c>
      <c r="E113" s="4" t="s">
        <v>25</v>
      </c>
      <c r="F113" s="4">
        <v>36.228999999999999</v>
      </c>
      <c r="G113" s="4">
        <v>4</v>
      </c>
      <c r="H113" s="4">
        <v>250</v>
      </c>
      <c r="I113" s="4">
        <v>113.8</v>
      </c>
      <c r="J113" s="4">
        <v>74.400000000000006</v>
      </c>
      <c r="K113" s="4">
        <v>205.4</v>
      </c>
      <c r="L113" s="4">
        <v>3.9670000000000001</v>
      </c>
      <c r="M113" s="4">
        <v>18.5</v>
      </c>
      <c r="N113" s="4">
        <v>22</v>
      </c>
      <c r="O113" s="4" t="s">
        <v>265</v>
      </c>
      <c r="P113" s="4">
        <v>103.4416926</v>
      </c>
    </row>
    <row r="114" spans="1:16" ht="15" customHeight="1" x14ac:dyDescent="0.35">
      <c r="A114" s="3" t="s">
        <v>258</v>
      </c>
      <c r="B114" s="3" t="s">
        <v>266</v>
      </c>
      <c r="C114" s="3">
        <v>20.016999999999999</v>
      </c>
      <c r="D114" s="3">
        <v>19.925000000000001</v>
      </c>
      <c r="E114" s="3" t="s">
        <v>66</v>
      </c>
      <c r="F114" s="3">
        <v>31.597999999999999</v>
      </c>
      <c r="G114" s="3">
        <v>4.3</v>
      </c>
      <c r="H114" s="3">
        <v>190</v>
      </c>
      <c r="I114" s="3">
        <v>107</v>
      </c>
      <c r="J114" s="3">
        <v>67.8</v>
      </c>
      <c r="K114" s="3">
        <v>181.2</v>
      </c>
      <c r="L114" s="3">
        <v>4.0679999999999996</v>
      </c>
      <c r="M114" s="3">
        <v>17.5</v>
      </c>
      <c r="N114" s="3">
        <v>19</v>
      </c>
      <c r="O114" s="3" t="s">
        <v>267</v>
      </c>
      <c r="P114" s="3">
        <v>80.511672590000003</v>
      </c>
    </row>
    <row r="115" spans="1:16" ht="15" customHeight="1" x14ac:dyDescent="0.35">
      <c r="A115" s="4" t="s">
        <v>258</v>
      </c>
      <c r="B115" s="4" t="s">
        <v>268</v>
      </c>
      <c r="C115" s="4">
        <v>24.361000000000001</v>
      </c>
      <c r="D115" s="4">
        <v>15.24</v>
      </c>
      <c r="E115" s="4" t="s">
        <v>66</v>
      </c>
      <c r="F115" s="4">
        <v>25.344999999999999</v>
      </c>
      <c r="G115" s="4">
        <v>3.4</v>
      </c>
      <c r="H115" s="4">
        <v>185</v>
      </c>
      <c r="I115" s="4">
        <v>120</v>
      </c>
      <c r="J115" s="4">
        <v>72.2</v>
      </c>
      <c r="K115" s="4">
        <v>201.4</v>
      </c>
      <c r="L115" s="4">
        <v>3.948</v>
      </c>
      <c r="M115" s="4">
        <v>25</v>
      </c>
      <c r="N115" s="4">
        <v>22</v>
      </c>
      <c r="O115" s="4" t="s">
        <v>269</v>
      </c>
      <c r="P115" s="4">
        <v>76.096570420000006</v>
      </c>
    </row>
    <row r="116" spans="1:16" ht="15" customHeight="1" x14ac:dyDescent="0.35">
      <c r="A116" s="3" t="s">
        <v>270</v>
      </c>
      <c r="B116" s="3" t="s">
        <v>103</v>
      </c>
      <c r="C116" s="3">
        <v>32.734000000000002</v>
      </c>
      <c r="D116" s="3">
        <v>7.75</v>
      </c>
      <c r="E116" s="3" t="s">
        <v>25</v>
      </c>
      <c r="F116" s="3">
        <v>12.64</v>
      </c>
      <c r="G116" s="3">
        <v>2</v>
      </c>
      <c r="H116" s="3">
        <v>132</v>
      </c>
      <c r="I116" s="3">
        <v>105</v>
      </c>
      <c r="J116" s="3">
        <v>74.400000000000006</v>
      </c>
      <c r="K116" s="3">
        <v>174.4</v>
      </c>
      <c r="L116" s="3">
        <v>2.5590000000000002</v>
      </c>
      <c r="M116" s="3">
        <v>12.5</v>
      </c>
      <c r="N116" s="3">
        <v>29</v>
      </c>
      <c r="O116" s="3" t="s">
        <v>271</v>
      </c>
      <c r="P116" s="3">
        <v>52.084898750000001</v>
      </c>
    </row>
    <row r="117" spans="1:16" ht="15" customHeight="1" x14ac:dyDescent="0.35">
      <c r="A117" s="4" t="s">
        <v>270</v>
      </c>
      <c r="B117" s="4" t="s">
        <v>272</v>
      </c>
      <c r="C117" s="4">
        <v>5.24</v>
      </c>
      <c r="D117" s="4">
        <v>9.8000000000000007</v>
      </c>
      <c r="E117" s="4" t="s">
        <v>25</v>
      </c>
      <c r="F117" s="4">
        <v>16.079999999999998</v>
      </c>
      <c r="G117" s="4">
        <v>2</v>
      </c>
      <c r="H117" s="4">
        <v>132</v>
      </c>
      <c r="I117" s="4">
        <v>108</v>
      </c>
      <c r="J117" s="4">
        <v>71</v>
      </c>
      <c r="K117" s="4">
        <v>186.3</v>
      </c>
      <c r="L117" s="4">
        <v>2.9420000000000002</v>
      </c>
      <c r="M117" s="4">
        <v>16</v>
      </c>
      <c r="N117" s="4">
        <v>27</v>
      </c>
      <c r="O117" s="4" t="s">
        <v>273</v>
      </c>
      <c r="P117" s="4">
        <v>53.411897670000002</v>
      </c>
    </row>
    <row r="118" spans="1:16" ht="15" customHeight="1" x14ac:dyDescent="0.35">
      <c r="A118" s="3" t="s">
        <v>270</v>
      </c>
      <c r="B118" s="3" t="s">
        <v>274</v>
      </c>
      <c r="C118" s="3">
        <v>24.155000000000001</v>
      </c>
      <c r="D118" s="3">
        <v>12.025</v>
      </c>
      <c r="E118" s="3" t="s">
        <v>66</v>
      </c>
      <c r="F118" s="3">
        <v>18.850000000000001</v>
      </c>
      <c r="G118" s="3">
        <v>2.4</v>
      </c>
      <c r="H118" s="3">
        <v>150</v>
      </c>
      <c r="I118" s="3">
        <v>113.3</v>
      </c>
      <c r="J118" s="3">
        <v>76.8</v>
      </c>
      <c r="K118" s="3">
        <v>186.3</v>
      </c>
      <c r="L118" s="3">
        <v>3.528</v>
      </c>
      <c r="M118" s="3">
        <v>20</v>
      </c>
      <c r="N118" s="3">
        <v>24</v>
      </c>
      <c r="O118" s="3" t="s">
        <v>226</v>
      </c>
      <c r="P118" s="3">
        <v>60.951185119999998</v>
      </c>
    </row>
    <row r="119" spans="1:16" ht="15" customHeight="1" x14ac:dyDescent="0.35">
      <c r="A119" s="4" t="s">
        <v>270</v>
      </c>
      <c r="B119" s="4" t="s">
        <v>275</v>
      </c>
      <c r="C119" s="4">
        <v>1.8720000000000001</v>
      </c>
      <c r="D119" s="4"/>
      <c r="E119" s="4" t="s">
        <v>25</v>
      </c>
      <c r="F119" s="4">
        <v>43</v>
      </c>
      <c r="G119" s="4">
        <v>3.5</v>
      </c>
      <c r="H119" s="4">
        <v>253</v>
      </c>
      <c r="I119" s="4">
        <v>113.3</v>
      </c>
      <c r="J119" s="4">
        <v>76.3</v>
      </c>
      <c r="K119" s="4">
        <v>165.4</v>
      </c>
      <c r="L119" s="4">
        <v>2.85</v>
      </c>
      <c r="M119" s="4">
        <v>12</v>
      </c>
      <c r="N119" s="4">
        <v>21</v>
      </c>
      <c r="O119" s="4" t="s">
        <v>122</v>
      </c>
      <c r="P119" s="4">
        <v>106.98445630000001</v>
      </c>
    </row>
    <row r="120" spans="1:16" ht="15" customHeight="1" x14ac:dyDescent="0.35">
      <c r="A120" s="3" t="s">
        <v>276</v>
      </c>
      <c r="B120" s="3" t="s">
        <v>277</v>
      </c>
      <c r="C120" s="3">
        <v>51.645000000000003</v>
      </c>
      <c r="D120" s="3">
        <v>13.79</v>
      </c>
      <c r="E120" s="3" t="s">
        <v>25</v>
      </c>
      <c r="F120" s="3">
        <v>21.61</v>
      </c>
      <c r="G120" s="3">
        <v>2.4</v>
      </c>
      <c r="H120" s="3">
        <v>150</v>
      </c>
      <c r="I120" s="3">
        <v>104.1</v>
      </c>
      <c r="J120" s="3">
        <v>68.400000000000006</v>
      </c>
      <c r="K120" s="3">
        <v>181.9</v>
      </c>
      <c r="L120" s="3">
        <v>2.9060000000000001</v>
      </c>
      <c r="M120" s="3">
        <v>15</v>
      </c>
      <c r="N120" s="3">
        <v>27</v>
      </c>
      <c r="O120" s="3" t="s">
        <v>278</v>
      </c>
      <c r="P120" s="3">
        <v>62.015870300000003</v>
      </c>
    </row>
    <row r="121" spans="1:16" ht="15" customHeight="1" x14ac:dyDescent="0.35">
      <c r="A121" s="4" t="s">
        <v>276</v>
      </c>
      <c r="B121" s="4" t="s">
        <v>279</v>
      </c>
      <c r="C121" s="4">
        <v>131.09700000000001</v>
      </c>
      <c r="D121" s="4">
        <v>10.29</v>
      </c>
      <c r="E121" s="4" t="s">
        <v>25</v>
      </c>
      <c r="F121" s="4">
        <v>19.72</v>
      </c>
      <c r="G121" s="4">
        <v>3.4</v>
      </c>
      <c r="H121" s="4">
        <v>175</v>
      </c>
      <c r="I121" s="4">
        <v>107</v>
      </c>
      <c r="J121" s="4">
        <v>70.400000000000006</v>
      </c>
      <c r="K121" s="4">
        <v>186.3</v>
      </c>
      <c r="L121" s="4">
        <v>3.0910000000000002</v>
      </c>
      <c r="M121" s="4">
        <v>15.2</v>
      </c>
      <c r="N121" s="4">
        <v>25</v>
      </c>
      <c r="O121" s="4" t="s">
        <v>280</v>
      </c>
      <c r="P121" s="4">
        <v>70.389737260000004</v>
      </c>
    </row>
    <row r="122" spans="1:16" ht="15" customHeight="1" x14ac:dyDescent="0.35">
      <c r="A122" s="3" t="s">
        <v>276</v>
      </c>
      <c r="B122" s="3" t="s">
        <v>281</v>
      </c>
      <c r="C122" s="3">
        <v>19.911000000000001</v>
      </c>
      <c r="D122" s="3">
        <v>17.805</v>
      </c>
      <c r="E122" s="3" t="s">
        <v>25</v>
      </c>
      <c r="F122" s="3">
        <v>25.31</v>
      </c>
      <c r="G122" s="3">
        <v>3.8</v>
      </c>
      <c r="H122" s="3">
        <v>200</v>
      </c>
      <c r="I122" s="3">
        <v>101.1</v>
      </c>
      <c r="J122" s="3">
        <v>74.5</v>
      </c>
      <c r="K122" s="3">
        <v>193.4</v>
      </c>
      <c r="L122" s="3">
        <v>3.492</v>
      </c>
      <c r="M122" s="3">
        <v>16.8</v>
      </c>
      <c r="N122" s="3">
        <v>25</v>
      </c>
      <c r="O122" s="3" t="s">
        <v>282</v>
      </c>
      <c r="P122" s="3">
        <v>81.492726160000004</v>
      </c>
    </row>
    <row r="123" spans="1:16" ht="15" customHeight="1" x14ac:dyDescent="0.35">
      <c r="A123" s="4" t="s">
        <v>276</v>
      </c>
      <c r="B123" s="4" t="s">
        <v>283</v>
      </c>
      <c r="C123" s="4">
        <v>92.364000000000004</v>
      </c>
      <c r="D123" s="4">
        <v>14.01</v>
      </c>
      <c r="E123" s="4" t="s">
        <v>25</v>
      </c>
      <c r="F123" s="4">
        <v>21.664999999999999</v>
      </c>
      <c r="G123" s="4">
        <v>3.8</v>
      </c>
      <c r="H123" s="4">
        <v>195</v>
      </c>
      <c r="I123" s="4">
        <v>110.5</v>
      </c>
      <c r="J123" s="4">
        <v>72.7</v>
      </c>
      <c r="K123" s="4">
        <v>196.5</v>
      </c>
      <c r="L123" s="4">
        <v>3.3959999999999999</v>
      </c>
      <c r="M123" s="4">
        <v>18</v>
      </c>
      <c r="N123" s="4">
        <v>25</v>
      </c>
      <c r="O123" s="4" t="s">
        <v>284</v>
      </c>
      <c r="P123" s="4">
        <v>78.318168130000004</v>
      </c>
    </row>
    <row r="124" spans="1:16" ht="15" customHeight="1" x14ac:dyDescent="0.35">
      <c r="A124" s="3" t="s">
        <v>276</v>
      </c>
      <c r="B124" s="3" t="s">
        <v>285</v>
      </c>
      <c r="C124" s="3">
        <v>35.945</v>
      </c>
      <c r="D124" s="3">
        <v>13.225</v>
      </c>
      <c r="E124" s="3" t="s">
        <v>25</v>
      </c>
      <c r="F124" s="3">
        <v>23.754999999999999</v>
      </c>
      <c r="G124" s="3">
        <v>3.8</v>
      </c>
      <c r="H124" s="3">
        <v>205</v>
      </c>
      <c r="I124" s="3">
        <v>112.2</v>
      </c>
      <c r="J124" s="3">
        <v>72.599999999999994</v>
      </c>
      <c r="K124" s="3">
        <v>202.5</v>
      </c>
      <c r="L124" s="3">
        <v>3.59</v>
      </c>
      <c r="M124" s="3">
        <v>17.5</v>
      </c>
      <c r="N124" s="3">
        <v>24</v>
      </c>
      <c r="O124" s="3" t="s">
        <v>286</v>
      </c>
      <c r="P124" s="3">
        <v>82.661355599999993</v>
      </c>
    </row>
    <row r="125" spans="1:16" ht="15" customHeight="1" x14ac:dyDescent="0.35">
      <c r="A125" s="4" t="s">
        <v>276</v>
      </c>
      <c r="B125" s="4" t="s">
        <v>287</v>
      </c>
      <c r="C125" s="4">
        <v>39.572000000000003</v>
      </c>
      <c r="D125" s="4"/>
      <c r="E125" s="4" t="s">
        <v>66</v>
      </c>
      <c r="F125" s="4">
        <v>25.635000000000002</v>
      </c>
      <c r="G125" s="4">
        <v>3.4</v>
      </c>
      <c r="H125" s="4">
        <v>185</v>
      </c>
      <c r="I125" s="4">
        <v>120</v>
      </c>
      <c r="J125" s="4">
        <v>72.7</v>
      </c>
      <c r="K125" s="4">
        <v>201.3</v>
      </c>
      <c r="L125" s="4">
        <v>3.9420000000000002</v>
      </c>
      <c r="M125" s="4">
        <v>25</v>
      </c>
      <c r="N125" s="4">
        <v>23</v>
      </c>
      <c r="O125" s="4" t="s">
        <v>135</v>
      </c>
      <c r="P125" s="4">
        <v>76.208439519999999</v>
      </c>
    </row>
    <row r="126" spans="1:16" ht="15" customHeight="1" x14ac:dyDescent="0.35">
      <c r="A126" s="3" t="s">
        <v>288</v>
      </c>
      <c r="B126" s="3" t="s">
        <v>289</v>
      </c>
      <c r="C126" s="3">
        <v>8.9819999999999993</v>
      </c>
      <c r="D126" s="3">
        <v>41.25</v>
      </c>
      <c r="E126" s="3" t="s">
        <v>25</v>
      </c>
      <c r="F126" s="3">
        <v>41.43</v>
      </c>
      <c r="G126" s="3">
        <v>2.7</v>
      </c>
      <c r="H126" s="3">
        <v>217</v>
      </c>
      <c r="I126" s="3">
        <v>95.2</v>
      </c>
      <c r="J126" s="3">
        <v>70.099999999999994</v>
      </c>
      <c r="K126" s="3">
        <v>171</v>
      </c>
      <c r="L126" s="3">
        <v>2.778</v>
      </c>
      <c r="M126" s="3">
        <v>17</v>
      </c>
      <c r="N126" s="3">
        <v>22</v>
      </c>
      <c r="O126" s="3" t="s">
        <v>290</v>
      </c>
      <c r="P126" s="3">
        <v>93.437330700000004</v>
      </c>
    </row>
    <row r="127" spans="1:16" ht="15" customHeight="1" x14ac:dyDescent="0.35">
      <c r="A127" s="4" t="s">
        <v>288</v>
      </c>
      <c r="B127" s="4" t="s">
        <v>291</v>
      </c>
      <c r="C127" s="4">
        <v>1.28</v>
      </c>
      <c r="D127" s="4">
        <v>60.625</v>
      </c>
      <c r="E127" s="4" t="s">
        <v>25</v>
      </c>
      <c r="F127" s="4">
        <v>71.02</v>
      </c>
      <c r="G127" s="4">
        <v>3.4</v>
      </c>
      <c r="H127" s="4">
        <v>300</v>
      </c>
      <c r="I127" s="4">
        <v>92.6</v>
      </c>
      <c r="J127" s="4">
        <v>69.5</v>
      </c>
      <c r="K127" s="4">
        <v>174.5</v>
      </c>
      <c r="L127" s="4">
        <v>3.032</v>
      </c>
      <c r="M127" s="4">
        <v>17</v>
      </c>
      <c r="N127" s="4">
        <v>21</v>
      </c>
      <c r="O127" s="4" t="s">
        <v>292</v>
      </c>
      <c r="P127" s="4">
        <v>134.3909754</v>
      </c>
    </row>
    <row r="128" spans="1:16" ht="15" customHeight="1" x14ac:dyDescent="0.35">
      <c r="A128" s="3" t="s">
        <v>288</v>
      </c>
      <c r="B128" s="3" t="s">
        <v>293</v>
      </c>
      <c r="C128" s="3">
        <v>1.8660000000000001</v>
      </c>
      <c r="D128" s="3">
        <v>67.55</v>
      </c>
      <c r="E128" s="3" t="s">
        <v>25</v>
      </c>
      <c r="F128" s="3">
        <v>74.97</v>
      </c>
      <c r="G128" s="3">
        <v>3.4</v>
      </c>
      <c r="H128" s="3">
        <v>300</v>
      </c>
      <c r="I128" s="3">
        <v>92.6</v>
      </c>
      <c r="J128" s="3">
        <v>69.5</v>
      </c>
      <c r="K128" s="3">
        <v>174.5</v>
      </c>
      <c r="L128" s="3">
        <v>3.0750000000000002</v>
      </c>
      <c r="M128" s="3">
        <v>17</v>
      </c>
      <c r="N128" s="3">
        <v>23</v>
      </c>
      <c r="O128" s="3" t="s">
        <v>294</v>
      </c>
      <c r="P128" s="3">
        <v>135.91470960000001</v>
      </c>
    </row>
    <row r="129" spans="1:16" ht="15" customHeight="1" x14ac:dyDescent="0.35">
      <c r="A129" s="4" t="s">
        <v>295</v>
      </c>
      <c r="B129" s="4" t="s">
        <v>296</v>
      </c>
      <c r="C129" s="4">
        <v>9.1910000000000007</v>
      </c>
      <c r="D129" s="4"/>
      <c r="E129" s="4" t="s">
        <v>25</v>
      </c>
      <c r="F129" s="4">
        <v>33.119999999999997</v>
      </c>
      <c r="G129" s="4">
        <v>2.2999999999999998</v>
      </c>
      <c r="H129" s="4">
        <v>170</v>
      </c>
      <c r="I129" s="4">
        <v>106.4</v>
      </c>
      <c r="J129" s="4">
        <v>70.599999999999994</v>
      </c>
      <c r="K129" s="4">
        <v>189.2</v>
      </c>
      <c r="L129" s="4">
        <v>3.28</v>
      </c>
      <c r="M129" s="4">
        <v>18.5</v>
      </c>
      <c r="N129" s="4">
        <v>23</v>
      </c>
      <c r="O129" s="4" t="s">
        <v>297</v>
      </c>
      <c r="P129" s="4">
        <v>73.503778190000006</v>
      </c>
    </row>
    <row r="130" spans="1:16" ht="15" customHeight="1" x14ac:dyDescent="0.35">
      <c r="A130" s="3" t="s">
        <v>295</v>
      </c>
      <c r="B130" s="3" t="s">
        <v>298</v>
      </c>
      <c r="C130" s="3">
        <v>12.115</v>
      </c>
      <c r="D130" s="3"/>
      <c r="E130" s="3" t="s">
        <v>25</v>
      </c>
      <c r="F130" s="3">
        <v>26.1</v>
      </c>
      <c r="G130" s="3">
        <v>2</v>
      </c>
      <c r="H130" s="3">
        <v>185</v>
      </c>
      <c r="I130" s="3">
        <v>102.6</v>
      </c>
      <c r="J130" s="3">
        <v>67.400000000000006</v>
      </c>
      <c r="K130" s="3">
        <v>182.2</v>
      </c>
      <c r="L130" s="3">
        <v>2.99</v>
      </c>
      <c r="M130" s="3">
        <v>16.899999999999999</v>
      </c>
      <c r="N130" s="3">
        <v>23</v>
      </c>
      <c r="O130" s="3" t="s">
        <v>299</v>
      </c>
      <c r="P130" s="3">
        <v>76.02304771</v>
      </c>
    </row>
    <row r="131" spans="1:16" ht="15" customHeight="1" x14ac:dyDescent="0.35">
      <c r="A131" s="4" t="s">
        <v>300</v>
      </c>
      <c r="B131" s="4" t="s">
        <v>301</v>
      </c>
      <c r="C131" s="4">
        <v>80.62</v>
      </c>
      <c r="D131" s="4">
        <v>9.1999999999999993</v>
      </c>
      <c r="E131" s="4" t="s">
        <v>25</v>
      </c>
      <c r="F131" s="4">
        <v>10.685</v>
      </c>
      <c r="G131" s="4">
        <v>1.9</v>
      </c>
      <c r="H131" s="4">
        <v>100</v>
      </c>
      <c r="I131" s="4">
        <v>102.4</v>
      </c>
      <c r="J131" s="4">
        <v>66.400000000000006</v>
      </c>
      <c r="K131" s="4">
        <v>176.9</v>
      </c>
      <c r="L131" s="4">
        <v>2.3319999999999999</v>
      </c>
      <c r="M131" s="4">
        <v>12.1</v>
      </c>
      <c r="N131" s="4">
        <v>33</v>
      </c>
      <c r="O131" s="4" t="s">
        <v>147</v>
      </c>
      <c r="P131" s="4">
        <v>39.986424749999998</v>
      </c>
    </row>
    <row r="132" spans="1:16" ht="15" customHeight="1" x14ac:dyDescent="0.35">
      <c r="A132" s="3" t="s">
        <v>300</v>
      </c>
      <c r="B132" s="3" t="s">
        <v>302</v>
      </c>
      <c r="C132" s="3">
        <v>24.545999999999999</v>
      </c>
      <c r="D132" s="3">
        <v>10.59</v>
      </c>
      <c r="E132" s="3" t="s">
        <v>25</v>
      </c>
      <c r="F132" s="3">
        <v>12.535</v>
      </c>
      <c r="G132" s="3">
        <v>1.9</v>
      </c>
      <c r="H132" s="3">
        <v>100</v>
      </c>
      <c r="I132" s="3">
        <v>102.4</v>
      </c>
      <c r="J132" s="3">
        <v>66.400000000000006</v>
      </c>
      <c r="K132" s="3">
        <v>180</v>
      </c>
      <c r="L132" s="3">
        <v>2.367</v>
      </c>
      <c r="M132" s="3">
        <v>12.1</v>
      </c>
      <c r="N132" s="3">
        <v>33</v>
      </c>
      <c r="O132" s="3" t="s">
        <v>303</v>
      </c>
      <c r="P132" s="3">
        <v>40.700072419999998</v>
      </c>
    </row>
    <row r="133" spans="1:16" ht="15" customHeight="1" x14ac:dyDescent="0.35">
      <c r="A133" s="4" t="s">
        <v>300</v>
      </c>
      <c r="B133" s="4" t="s">
        <v>304</v>
      </c>
      <c r="C133" s="4">
        <v>5.2229999999999999</v>
      </c>
      <c r="D133" s="4">
        <v>10.79</v>
      </c>
      <c r="E133" s="4" t="s">
        <v>25</v>
      </c>
      <c r="F133" s="4">
        <v>14.29</v>
      </c>
      <c r="G133" s="4">
        <v>1.9</v>
      </c>
      <c r="H133" s="4">
        <v>124</v>
      </c>
      <c r="I133" s="4">
        <v>102.4</v>
      </c>
      <c r="J133" s="4">
        <v>66.400000000000006</v>
      </c>
      <c r="K133" s="4">
        <v>176.9</v>
      </c>
      <c r="L133" s="4">
        <v>2.452</v>
      </c>
      <c r="M133" s="4">
        <v>12.1</v>
      </c>
      <c r="N133" s="4">
        <v>31</v>
      </c>
      <c r="O133" s="4" t="s">
        <v>305</v>
      </c>
      <c r="P133" s="4">
        <v>49.865773670000003</v>
      </c>
    </row>
    <row r="134" spans="1:16" ht="15" customHeight="1" x14ac:dyDescent="0.35">
      <c r="A134" s="3" t="s">
        <v>300</v>
      </c>
      <c r="B134" s="3" t="s">
        <v>306</v>
      </c>
      <c r="C134" s="3">
        <v>8.4719999999999995</v>
      </c>
      <c r="D134" s="3"/>
      <c r="E134" s="3" t="s">
        <v>25</v>
      </c>
      <c r="F134" s="3">
        <v>18.835000000000001</v>
      </c>
      <c r="G134" s="3">
        <v>2.2000000000000002</v>
      </c>
      <c r="H134" s="3">
        <v>137</v>
      </c>
      <c r="I134" s="3">
        <v>106.5</v>
      </c>
      <c r="J134" s="3">
        <v>69</v>
      </c>
      <c r="K134" s="3">
        <v>190.4</v>
      </c>
      <c r="L134" s="3">
        <v>3.0750000000000002</v>
      </c>
      <c r="M134" s="3">
        <v>13.1</v>
      </c>
      <c r="N134" s="3">
        <v>27</v>
      </c>
      <c r="O134" s="3" t="s">
        <v>307</v>
      </c>
      <c r="P134" s="3">
        <v>56.295243040000003</v>
      </c>
    </row>
    <row r="135" spans="1:16" ht="15" customHeight="1" x14ac:dyDescent="0.35">
      <c r="A135" s="4" t="s">
        <v>300</v>
      </c>
      <c r="B135" s="4" t="s">
        <v>308</v>
      </c>
      <c r="C135" s="4">
        <v>49.988999999999997</v>
      </c>
      <c r="D135" s="4"/>
      <c r="E135" s="4" t="s">
        <v>25</v>
      </c>
      <c r="F135" s="4">
        <v>15.01</v>
      </c>
      <c r="G135" s="4">
        <v>2.2000000000000002</v>
      </c>
      <c r="H135" s="4">
        <v>137</v>
      </c>
      <c r="I135" s="4">
        <v>106.5</v>
      </c>
      <c r="J135" s="4">
        <v>69</v>
      </c>
      <c r="K135" s="4">
        <v>190.4</v>
      </c>
      <c r="L135" s="4">
        <v>2.91</v>
      </c>
      <c r="M135" s="4">
        <v>13.1</v>
      </c>
      <c r="N135" s="4">
        <v>28</v>
      </c>
      <c r="O135" s="4" t="s">
        <v>309</v>
      </c>
      <c r="P135" s="4">
        <v>54.819728249999997</v>
      </c>
    </row>
    <row r="136" spans="1:16" ht="15" customHeight="1" x14ac:dyDescent="0.35">
      <c r="A136" s="3" t="s">
        <v>310</v>
      </c>
      <c r="B136" s="3" t="s">
        <v>311</v>
      </c>
      <c r="C136" s="3">
        <v>47.106999999999999</v>
      </c>
      <c r="D136" s="3"/>
      <c r="E136" s="3" t="s">
        <v>25</v>
      </c>
      <c r="F136" s="3">
        <v>22.695</v>
      </c>
      <c r="G136" s="3">
        <v>2.5</v>
      </c>
      <c r="H136" s="3">
        <v>165</v>
      </c>
      <c r="I136" s="3">
        <v>103.5</v>
      </c>
      <c r="J136" s="3">
        <v>67.5</v>
      </c>
      <c r="K136" s="3">
        <v>185.8</v>
      </c>
      <c r="L136" s="3">
        <v>3.415</v>
      </c>
      <c r="M136" s="3">
        <v>16.899999999999999</v>
      </c>
      <c r="N136" s="3">
        <v>25</v>
      </c>
      <c r="O136" s="3" t="s">
        <v>312</v>
      </c>
      <c r="P136" s="3">
        <v>67.765907600000006</v>
      </c>
    </row>
    <row r="137" spans="1:16" ht="15" customHeight="1" x14ac:dyDescent="0.35">
      <c r="A137" s="4" t="s">
        <v>310</v>
      </c>
      <c r="B137" s="4" t="s">
        <v>313</v>
      </c>
      <c r="C137" s="4">
        <v>33.027999999999999</v>
      </c>
      <c r="D137" s="4"/>
      <c r="E137" s="4" t="s">
        <v>66</v>
      </c>
      <c r="F137" s="4">
        <v>20.094999999999999</v>
      </c>
      <c r="G137" s="4">
        <v>2.5</v>
      </c>
      <c r="H137" s="4">
        <v>165</v>
      </c>
      <c r="I137" s="4">
        <v>99.4</v>
      </c>
      <c r="J137" s="4">
        <v>68.3</v>
      </c>
      <c r="K137" s="4">
        <v>175.2</v>
      </c>
      <c r="L137" s="4">
        <v>3.125</v>
      </c>
      <c r="M137" s="4">
        <v>15.9</v>
      </c>
      <c r="N137" s="4">
        <v>24</v>
      </c>
      <c r="O137" s="4" t="s">
        <v>161</v>
      </c>
      <c r="P137" s="4">
        <v>66.762943309999997</v>
      </c>
    </row>
    <row r="138" spans="1:16" ht="15" customHeight="1" x14ac:dyDescent="0.35">
      <c r="A138" s="3" t="s">
        <v>314</v>
      </c>
      <c r="B138" s="3" t="s">
        <v>315</v>
      </c>
      <c r="C138" s="3">
        <v>142.535</v>
      </c>
      <c r="D138" s="3">
        <v>10.025</v>
      </c>
      <c r="E138" s="3" t="s">
        <v>25</v>
      </c>
      <c r="F138" s="3">
        <v>13.108000000000001</v>
      </c>
      <c r="G138" s="3">
        <v>1.8</v>
      </c>
      <c r="H138" s="3">
        <v>120</v>
      </c>
      <c r="I138" s="3">
        <v>97</v>
      </c>
      <c r="J138" s="3">
        <v>66.7</v>
      </c>
      <c r="K138" s="3">
        <v>174</v>
      </c>
      <c r="L138" s="3">
        <v>2.42</v>
      </c>
      <c r="M138" s="3">
        <v>13.2</v>
      </c>
      <c r="N138" s="3">
        <v>33</v>
      </c>
      <c r="O138" s="3" t="s">
        <v>240</v>
      </c>
      <c r="P138" s="3">
        <v>47.96897242</v>
      </c>
    </row>
    <row r="139" spans="1:16" ht="15" customHeight="1" x14ac:dyDescent="0.35">
      <c r="A139" s="4" t="s">
        <v>314</v>
      </c>
      <c r="B139" s="4" t="s">
        <v>316</v>
      </c>
      <c r="C139" s="4">
        <v>247.994</v>
      </c>
      <c r="D139" s="4">
        <v>13.244999999999999</v>
      </c>
      <c r="E139" s="4" t="s">
        <v>25</v>
      </c>
      <c r="F139" s="4">
        <v>17.518000000000001</v>
      </c>
      <c r="G139" s="4">
        <v>2.2000000000000002</v>
      </c>
      <c r="H139" s="4">
        <v>133</v>
      </c>
      <c r="I139" s="4">
        <v>105.2</v>
      </c>
      <c r="J139" s="4">
        <v>70.099999999999994</v>
      </c>
      <c r="K139" s="4">
        <v>188.5</v>
      </c>
      <c r="L139" s="4">
        <v>2.9980000000000002</v>
      </c>
      <c r="M139" s="4">
        <v>18.5</v>
      </c>
      <c r="N139" s="4">
        <v>27</v>
      </c>
      <c r="O139" s="4" t="s">
        <v>242</v>
      </c>
      <c r="P139" s="4">
        <v>54.372419649999998</v>
      </c>
    </row>
    <row r="140" spans="1:16" ht="15" customHeight="1" x14ac:dyDescent="0.35">
      <c r="A140" s="3" t="s">
        <v>314</v>
      </c>
      <c r="B140" s="3" t="s">
        <v>317</v>
      </c>
      <c r="C140" s="3">
        <v>63.848999999999997</v>
      </c>
      <c r="D140" s="3">
        <v>18.14</v>
      </c>
      <c r="E140" s="3" t="s">
        <v>25</v>
      </c>
      <c r="F140" s="3">
        <v>25.545000000000002</v>
      </c>
      <c r="G140" s="3">
        <v>3</v>
      </c>
      <c r="H140" s="3">
        <v>210</v>
      </c>
      <c r="I140" s="3">
        <v>107.1</v>
      </c>
      <c r="J140" s="3">
        <v>71.7</v>
      </c>
      <c r="K140" s="3">
        <v>191.9</v>
      </c>
      <c r="L140" s="3">
        <v>3.4169999999999998</v>
      </c>
      <c r="M140" s="3">
        <v>18.5</v>
      </c>
      <c r="N140" s="3">
        <v>26</v>
      </c>
      <c r="O140" s="3" t="s">
        <v>245</v>
      </c>
      <c r="P140" s="3">
        <v>84.911898260000001</v>
      </c>
    </row>
    <row r="141" spans="1:16" ht="15" customHeight="1" x14ac:dyDescent="0.35">
      <c r="A141" s="4" t="s">
        <v>314</v>
      </c>
      <c r="B141" s="4" t="s">
        <v>318</v>
      </c>
      <c r="C141" s="4">
        <v>33.268999999999998</v>
      </c>
      <c r="D141" s="4">
        <v>15.445</v>
      </c>
      <c r="E141" s="4" t="s">
        <v>25</v>
      </c>
      <c r="F141" s="4">
        <v>16.875</v>
      </c>
      <c r="G141" s="4">
        <v>1.8</v>
      </c>
      <c r="H141" s="4">
        <v>140</v>
      </c>
      <c r="I141" s="4">
        <v>102.4</v>
      </c>
      <c r="J141" s="4">
        <v>68.3</v>
      </c>
      <c r="K141" s="4">
        <v>170.5</v>
      </c>
      <c r="L141" s="4">
        <v>2.4249999999999998</v>
      </c>
      <c r="M141" s="4">
        <v>14.5</v>
      </c>
      <c r="N141" s="4">
        <v>31</v>
      </c>
      <c r="O141" s="4" t="s">
        <v>319</v>
      </c>
      <c r="P141" s="4">
        <v>56.496030339999997</v>
      </c>
    </row>
    <row r="142" spans="1:16" ht="15" customHeight="1" x14ac:dyDescent="0.35">
      <c r="A142" s="3" t="s">
        <v>314</v>
      </c>
      <c r="B142" s="3" t="s">
        <v>320</v>
      </c>
      <c r="C142" s="3">
        <v>84.087000000000003</v>
      </c>
      <c r="D142" s="3">
        <v>9.5749999999999993</v>
      </c>
      <c r="E142" s="3" t="s">
        <v>66</v>
      </c>
      <c r="F142" s="3">
        <v>11.528</v>
      </c>
      <c r="G142" s="3">
        <v>2.4</v>
      </c>
      <c r="H142" s="3">
        <v>142</v>
      </c>
      <c r="I142" s="3">
        <v>103.3</v>
      </c>
      <c r="J142" s="3">
        <v>66.5</v>
      </c>
      <c r="K142" s="3">
        <v>178.7</v>
      </c>
      <c r="L142" s="3">
        <v>2.58</v>
      </c>
      <c r="M142" s="3">
        <v>15.1</v>
      </c>
      <c r="N142" s="3">
        <v>23</v>
      </c>
      <c r="O142" s="3" t="s">
        <v>321</v>
      </c>
      <c r="P142" s="3">
        <v>55.297116580000001</v>
      </c>
    </row>
    <row r="143" spans="1:16" ht="15" customHeight="1" x14ac:dyDescent="0.35">
      <c r="A143" s="4" t="s">
        <v>314</v>
      </c>
      <c r="B143" s="4" t="s">
        <v>322</v>
      </c>
      <c r="C143" s="4">
        <v>65.119</v>
      </c>
      <c r="D143" s="4"/>
      <c r="E143" s="4" t="s">
        <v>66</v>
      </c>
      <c r="F143" s="4">
        <v>22.367999999999999</v>
      </c>
      <c r="G143" s="4">
        <v>3</v>
      </c>
      <c r="H143" s="4">
        <v>194</v>
      </c>
      <c r="I143" s="4">
        <v>114.2</v>
      </c>
      <c r="J143" s="4">
        <v>73.400000000000006</v>
      </c>
      <c r="K143" s="4">
        <v>193.5</v>
      </c>
      <c r="L143" s="4">
        <v>3.7589999999999999</v>
      </c>
      <c r="M143" s="4">
        <v>20.9</v>
      </c>
      <c r="N143" s="4">
        <v>22</v>
      </c>
      <c r="O143" s="4" t="s">
        <v>176</v>
      </c>
      <c r="P143" s="4">
        <v>78.027219470000006</v>
      </c>
    </row>
    <row r="144" spans="1:16" ht="15" customHeight="1" x14ac:dyDescent="0.35">
      <c r="A144" s="3" t="s">
        <v>314</v>
      </c>
      <c r="B144" s="3" t="s">
        <v>323</v>
      </c>
      <c r="C144" s="3">
        <v>25.106000000000002</v>
      </c>
      <c r="D144" s="3">
        <v>13.324999999999999</v>
      </c>
      <c r="E144" s="3" t="s">
        <v>66</v>
      </c>
      <c r="F144" s="3">
        <v>16.888000000000002</v>
      </c>
      <c r="G144" s="3">
        <v>2</v>
      </c>
      <c r="H144" s="3">
        <v>127</v>
      </c>
      <c r="I144" s="3">
        <v>94.9</v>
      </c>
      <c r="J144" s="3">
        <v>66.7</v>
      </c>
      <c r="K144" s="3">
        <v>163.80000000000001</v>
      </c>
      <c r="L144" s="3">
        <v>2.6680000000000001</v>
      </c>
      <c r="M144" s="3">
        <v>15.3</v>
      </c>
      <c r="N144" s="3">
        <v>27</v>
      </c>
      <c r="O144" s="3" t="s">
        <v>249</v>
      </c>
      <c r="P144" s="3">
        <v>51.955108869999997</v>
      </c>
    </row>
    <row r="145" spans="1:16" ht="15" customHeight="1" x14ac:dyDescent="0.35">
      <c r="A145" s="4" t="s">
        <v>314</v>
      </c>
      <c r="B145" s="4" t="s">
        <v>324</v>
      </c>
      <c r="C145" s="4">
        <v>68.411000000000001</v>
      </c>
      <c r="D145" s="4">
        <v>19.425000000000001</v>
      </c>
      <c r="E145" s="4" t="s">
        <v>66</v>
      </c>
      <c r="F145" s="4">
        <v>22.288</v>
      </c>
      <c r="G145" s="4">
        <v>2.7</v>
      </c>
      <c r="H145" s="4">
        <v>150</v>
      </c>
      <c r="I145" s="4">
        <v>105.3</v>
      </c>
      <c r="J145" s="4">
        <v>66.5</v>
      </c>
      <c r="K145" s="4">
        <v>183.3</v>
      </c>
      <c r="L145" s="4">
        <v>3.44</v>
      </c>
      <c r="M145" s="4">
        <v>18.5</v>
      </c>
      <c r="N145" s="4">
        <v>23</v>
      </c>
      <c r="O145" s="4" t="s">
        <v>251</v>
      </c>
      <c r="P145" s="4">
        <v>62.35557713</v>
      </c>
    </row>
    <row r="146" spans="1:16" ht="15" customHeight="1" x14ac:dyDescent="0.35">
      <c r="A146" s="3" t="s">
        <v>314</v>
      </c>
      <c r="B146" s="3" t="s">
        <v>325</v>
      </c>
      <c r="C146" s="3">
        <v>9.8350000000000009</v>
      </c>
      <c r="D146" s="3">
        <v>34.08</v>
      </c>
      <c r="E146" s="3" t="s">
        <v>66</v>
      </c>
      <c r="F146" s="3">
        <v>51.728000000000002</v>
      </c>
      <c r="G146" s="3">
        <v>4.7</v>
      </c>
      <c r="H146" s="3">
        <v>230</v>
      </c>
      <c r="I146" s="3">
        <v>112.2</v>
      </c>
      <c r="J146" s="3">
        <v>76.400000000000006</v>
      </c>
      <c r="K146" s="3">
        <v>192.5</v>
      </c>
      <c r="L146" s="3">
        <v>5.1150000000000002</v>
      </c>
      <c r="M146" s="3">
        <v>25.4</v>
      </c>
      <c r="N146" s="3">
        <v>15</v>
      </c>
      <c r="O146" s="3" t="s">
        <v>253</v>
      </c>
      <c r="P146" s="3">
        <v>102.5289842</v>
      </c>
    </row>
    <row r="147" spans="1:16" ht="15" customHeight="1" x14ac:dyDescent="0.35">
      <c r="A147" s="4" t="s">
        <v>326</v>
      </c>
      <c r="B147" s="4" t="s">
        <v>327</v>
      </c>
      <c r="C147" s="4">
        <v>9.7609999999999992</v>
      </c>
      <c r="D147" s="4">
        <v>11.425000000000001</v>
      </c>
      <c r="E147" s="4" t="s">
        <v>25</v>
      </c>
      <c r="F147" s="4">
        <v>14.9</v>
      </c>
      <c r="G147" s="4">
        <v>2</v>
      </c>
      <c r="H147" s="4">
        <v>115</v>
      </c>
      <c r="I147" s="4">
        <v>98.9</v>
      </c>
      <c r="J147" s="4">
        <v>68.3</v>
      </c>
      <c r="K147" s="4">
        <v>163.30000000000001</v>
      </c>
      <c r="L147" s="4">
        <v>2.7669999999999999</v>
      </c>
      <c r="M147" s="4">
        <v>14.5</v>
      </c>
      <c r="N147" s="4">
        <v>26</v>
      </c>
      <c r="O147" s="4" t="s">
        <v>255</v>
      </c>
      <c r="P147" s="4">
        <v>46.943876760000002</v>
      </c>
    </row>
    <row r="148" spans="1:16" ht="15" customHeight="1" x14ac:dyDescent="0.35">
      <c r="A148" s="3" t="s">
        <v>326</v>
      </c>
      <c r="B148" s="3" t="s">
        <v>328</v>
      </c>
      <c r="C148" s="3">
        <v>83.721000000000004</v>
      </c>
      <c r="D148" s="3">
        <v>13.24</v>
      </c>
      <c r="E148" s="3" t="s">
        <v>25</v>
      </c>
      <c r="F148" s="3">
        <v>16.7</v>
      </c>
      <c r="G148" s="3">
        <v>2</v>
      </c>
      <c r="H148" s="3">
        <v>115</v>
      </c>
      <c r="I148" s="3">
        <v>98.9</v>
      </c>
      <c r="J148" s="3">
        <v>68.3</v>
      </c>
      <c r="K148" s="3">
        <v>172.3</v>
      </c>
      <c r="L148" s="3">
        <v>2.8530000000000002</v>
      </c>
      <c r="M148" s="3">
        <v>14.5</v>
      </c>
      <c r="N148" s="3">
        <v>26</v>
      </c>
      <c r="O148" s="3" t="s">
        <v>257</v>
      </c>
      <c r="P148" s="3">
        <v>47.638236659999997</v>
      </c>
    </row>
    <row r="149" spans="1:16" ht="15" customHeight="1" x14ac:dyDescent="0.35">
      <c r="A149" s="4" t="s">
        <v>326</v>
      </c>
      <c r="B149" s="4" t="s">
        <v>329</v>
      </c>
      <c r="C149" s="4">
        <v>51.101999999999997</v>
      </c>
      <c r="D149" s="4">
        <v>16.725000000000001</v>
      </c>
      <c r="E149" s="4" t="s">
        <v>25</v>
      </c>
      <c r="F149" s="4">
        <v>21.2</v>
      </c>
      <c r="G149" s="4">
        <v>1.8</v>
      </c>
      <c r="H149" s="4">
        <v>150</v>
      </c>
      <c r="I149" s="4">
        <v>106.4</v>
      </c>
      <c r="J149" s="4">
        <v>68.5</v>
      </c>
      <c r="K149" s="4">
        <v>184.1</v>
      </c>
      <c r="L149" s="4">
        <v>3.0430000000000001</v>
      </c>
      <c r="M149" s="4">
        <v>16.399999999999999</v>
      </c>
      <c r="N149" s="4">
        <v>27</v>
      </c>
      <c r="O149" s="4" t="s">
        <v>189</v>
      </c>
      <c r="P149" s="4">
        <v>61.701381359999999</v>
      </c>
    </row>
    <row r="150" spans="1:16" ht="15" customHeight="1" x14ac:dyDescent="0.35">
      <c r="A150" s="3" t="s">
        <v>326</v>
      </c>
      <c r="B150" s="3" t="s">
        <v>330</v>
      </c>
      <c r="C150" s="3">
        <v>9.5690000000000008</v>
      </c>
      <c r="D150" s="3">
        <v>16.574999999999999</v>
      </c>
      <c r="E150" s="3" t="s">
        <v>25</v>
      </c>
      <c r="F150" s="3">
        <v>19.989999999999998</v>
      </c>
      <c r="G150" s="3">
        <v>2</v>
      </c>
      <c r="H150" s="3">
        <v>115</v>
      </c>
      <c r="I150" s="3">
        <v>97.4</v>
      </c>
      <c r="J150" s="3">
        <v>66.7</v>
      </c>
      <c r="K150" s="3">
        <v>160.4</v>
      </c>
      <c r="L150" s="3">
        <v>3.0790000000000002</v>
      </c>
      <c r="M150" s="3">
        <v>13.7</v>
      </c>
      <c r="N150" s="3">
        <v>26</v>
      </c>
      <c r="O150" s="3" t="s">
        <v>260</v>
      </c>
      <c r="P150" s="3">
        <v>48.907372250000002</v>
      </c>
    </row>
    <row r="151" spans="1:16" ht="15" customHeight="1" x14ac:dyDescent="0.35">
      <c r="A151" s="4" t="s">
        <v>326</v>
      </c>
      <c r="B151" s="4" t="s">
        <v>331</v>
      </c>
      <c r="C151" s="4">
        <v>5.5960000000000001</v>
      </c>
      <c r="D151" s="4">
        <v>13.76</v>
      </c>
      <c r="E151" s="4" t="s">
        <v>25</v>
      </c>
      <c r="F151" s="4">
        <v>17.5</v>
      </c>
      <c r="G151" s="4">
        <v>2</v>
      </c>
      <c r="H151" s="4">
        <v>115</v>
      </c>
      <c r="I151" s="4">
        <v>98.9</v>
      </c>
      <c r="J151" s="4">
        <v>68.3</v>
      </c>
      <c r="K151" s="4">
        <v>163.30000000000001</v>
      </c>
      <c r="L151" s="4">
        <v>2.762</v>
      </c>
      <c r="M151" s="4">
        <v>14.6</v>
      </c>
      <c r="N151" s="4">
        <v>26</v>
      </c>
      <c r="O151" s="4" t="s">
        <v>262</v>
      </c>
      <c r="P151" s="4">
        <v>47.946841059999997</v>
      </c>
    </row>
    <row r="152" spans="1:16" ht="15" customHeight="1" x14ac:dyDescent="0.35">
      <c r="A152" s="3" t="s">
        <v>326</v>
      </c>
      <c r="B152" s="3" t="s">
        <v>332</v>
      </c>
      <c r="C152" s="3">
        <v>49.463000000000001</v>
      </c>
      <c r="D152" s="3"/>
      <c r="E152" s="3" t="s">
        <v>25</v>
      </c>
      <c r="F152" s="3">
        <v>15.9</v>
      </c>
      <c r="G152" s="3">
        <v>2</v>
      </c>
      <c r="H152" s="3">
        <v>115</v>
      </c>
      <c r="I152" s="3">
        <v>98.9</v>
      </c>
      <c r="J152" s="3">
        <v>67.900000000000006</v>
      </c>
      <c r="K152" s="3">
        <v>161.1</v>
      </c>
      <c r="L152" s="3">
        <v>2.7690000000000001</v>
      </c>
      <c r="M152" s="3">
        <v>14.5</v>
      </c>
      <c r="N152" s="3">
        <v>26</v>
      </c>
      <c r="O152" s="3" t="s">
        <v>333</v>
      </c>
      <c r="P152" s="3">
        <v>47.329632259999997</v>
      </c>
    </row>
    <row r="153" spans="1:16" ht="15" customHeight="1" x14ac:dyDescent="0.35">
      <c r="A153" s="4" t="s">
        <v>334</v>
      </c>
      <c r="B153" s="4" t="s">
        <v>335</v>
      </c>
      <c r="C153" s="4">
        <v>16.957000000000001</v>
      </c>
      <c r="D153" s="4"/>
      <c r="E153" s="4" t="s">
        <v>25</v>
      </c>
      <c r="F153" s="4">
        <v>23.4</v>
      </c>
      <c r="G153" s="4">
        <v>1.9</v>
      </c>
      <c r="H153" s="4">
        <v>160</v>
      </c>
      <c r="I153" s="4">
        <v>100.5</v>
      </c>
      <c r="J153" s="4">
        <v>67.599999999999994</v>
      </c>
      <c r="K153" s="4">
        <v>176.6</v>
      </c>
      <c r="L153" s="4">
        <v>2.9980000000000002</v>
      </c>
      <c r="M153" s="4">
        <v>15.8</v>
      </c>
      <c r="N153" s="4">
        <v>25</v>
      </c>
      <c r="O153" s="4" t="s">
        <v>265</v>
      </c>
      <c r="P153" s="4">
        <v>66.113056799999995</v>
      </c>
    </row>
    <row r="154" spans="1:16" ht="15" customHeight="1" x14ac:dyDescent="0.35">
      <c r="A154" s="3" t="s">
        <v>334</v>
      </c>
      <c r="B154" s="3" t="s">
        <v>336</v>
      </c>
      <c r="C154" s="3">
        <v>3.5449999999999999</v>
      </c>
      <c r="D154" s="3"/>
      <c r="E154" s="3" t="s">
        <v>25</v>
      </c>
      <c r="F154" s="3">
        <v>24.4</v>
      </c>
      <c r="G154" s="3">
        <v>1.9</v>
      </c>
      <c r="H154" s="3">
        <v>160</v>
      </c>
      <c r="I154" s="3">
        <v>100.5</v>
      </c>
      <c r="J154" s="3">
        <v>67.599999999999994</v>
      </c>
      <c r="K154" s="3">
        <v>176.6</v>
      </c>
      <c r="L154" s="3">
        <v>3.0419999999999998</v>
      </c>
      <c r="M154" s="3">
        <v>15.8</v>
      </c>
      <c r="N154" s="3">
        <v>25</v>
      </c>
      <c r="O154" s="3" t="s">
        <v>267</v>
      </c>
      <c r="P154" s="3">
        <v>66.498812299999997</v>
      </c>
    </row>
    <row r="155" spans="1:16" ht="15" customHeight="1" x14ac:dyDescent="0.35">
      <c r="A155" s="4" t="s">
        <v>334</v>
      </c>
      <c r="B155" s="4" t="s">
        <v>337</v>
      </c>
      <c r="C155" s="4">
        <v>15.244999999999999</v>
      </c>
      <c r="D155" s="4"/>
      <c r="E155" s="4" t="s">
        <v>25</v>
      </c>
      <c r="F155" s="4">
        <v>27.5</v>
      </c>
      <c r="G155" s="4">
        <v>2.4</v>
      </c>
      <c r="H155" s="4">
        <v>168</v>
      </c>
      <c r="I155" s="4">
        <v>104.9</v>
      </c>
      <c r="J155" s="4">
        <v>69.3</v>
      </c>
      <c r="K155" s="4">
        <v>185.9</v>
      </c>
      <c r="L155" s="4">
        <v>3.2080000000000002</v>
      </c>
      <c r="M155" s="4">
        <v>17.899999999999999</v>
      </c>
      <c r="N155" s="4">
        <v>25</v>
      </c>
      <c r="O155" s="4" t="s">
        <v>202</v>
      </c>
      <c r="P155" s="4">
        <v>70.654495449999999</v>
      </c>
    </row>
    <row r="156" spans="1:16" ht="15" customHeight="1" x14ac:dyDescent="0.35">
      <c r="A156" s="3" t="s">
        <v>334</v>
      </c>
      <c r="B156" s="3" t="s">
        <v>338</v>
      </c>
      <c r="C156" s="3">
        <v>17.530999999999999</v>
      </c>
      <c r="D156" s="3"/>
      <c r="E156" s="3" t="s">
        <v>25</v>
      </c>
      <c r="F156" s="3">
        <v>28.8</v>
      </c>
      <c r="G156" s="3">
        <v>2.4</v>
      </c>
      <c r="H156" s="3">
        <v>168</v>
      </c>
      <c r="I156" s="3">
        <v>104.9</v>
      </c>
      <c r="J156" s="3">
        <v>69.3</v>
      </c>
      <c r="K156" s="3">
        <v>186.2</v>
      </c>
      <c r="L156" s="3">
        <v>3.2589999999999999</v>
      </c>
      <c r="M156" s="3">
        <v>17.899999999999999</v>
      </c>
      <c r="N156" s="3">
        <v>25</v>
      </c>
      <c r="O156" s="3" t="s">
        <v>269</v>
      </c>
      <c r="P156" s="3">
        <v>71.1559776</v>
      </c>
    </row>
    <row r="157" spans="1:16" ht="15" customHeight="1" x14ac:dyDescent="0.35">
      <c r="A157" s="4" t="s">
        <v>334</v>
      </c>
      <c r="B157" s="4" t="s">
        <v>339</v>
      </c>
      <c r="C157" s="4">
        <v>3.4929999999999999</v>
      </c>
      <c r="D157" s="4"/>
      <c r="E157" s="4" t="s">
        <v>25</v>
      </c>
      <c r="F157" s="4">
        <v>45.5</v>
      </c>
      <c r="G157" s="4">
        <v>2.2999999999999998</v>
      </c>
      <c r="H157" s="4">
        <v>236</v>
      </c>
      <c r="I157" s="4">
        <v>104.9</v>
      </c>
      <c r="J157" s="4">
        <v>71.5</v>
      </c>
      <c r="K157" s="4">
        <v>185.7</v>
      </c>
      <c r="L157" s="4">
        <v>3.601</v>
      </c>
      <c r="M157" s="4">
        <v>18.5</v>
      </c>
      <c r="N157" s="4">
        <v>23</v>
      </c>
      <c r="O157" s="4" t="s">
        <v>271</v>
      </c>
      <c r="P157" s="4">
        <v>101.6233572</v>
      </c>
    </row>
    <row r="158" spans="1:16" ht="15" customHeight="1" x14ac:dyDescent="0.35">
      <c r="A158" s="3" t="s">
        <v>334</v>
      </c>
      <c r="B158" s="3" t="s">
        <v>340</v>
      </c>
      <c r="C158" s="3">
        <v>18.969000000000001</v>
      </c>
      <c r="D158" s="3"/>
      <c r="E158" s="3" t="s">
        <v>25</v>
      </c>
      <c r="F158" s="3">
        <v>36</v>
      </c>
      <c r="G158" s="3">
        <v>2.9</v>
      </c>
      <c r="H158" s="3">
        <v>201</v>
      </c>
      <c r="I158" s="3">
        <v>109.9</v>
      </c>
      <c r="J158" s="3">
        <v>72.099999999999994</v>
      </c>
      <c r="K158" s="3">
        <v>189.8</v>
      </c>
      <c r="L158" s="3">
        <v>3.6</v>
      </c>
      <c r="M158" s="3">
        <v>21.1</v>
      </c>
      <c r="N158" s="3">
        <v>24</v>
      </c>
      <c r="O158" s="3" t="s">
        <v>273</v>
      </c>
      <c r="P158" s="3">
        <v>85.735654510000003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AAC"/>
  </sheetPr>
  <dimension ref="A1:P160"/>
  <sheetViews>
    <sheetView zoomScaleNormal="100" workbookViewId="0">
      <pane ySplit="1" topLeftCell="A155" activePane="bottomLeft" state="frozen"/>
      <selection pane="bottomLeft" activeCell="A160" sqref="A160"/>
    </sheetView>
  </sheetViews>
  <sheetFormatPr defaultColWidth="8.6328125" defaultRowHeight="14.5" x14ac:dyDescent="0.35"/>
  <cols>
    <col min="1" max="1" width="14" customWidth="1"/>
    <col min="2" max="2" width="12" customWidth="1"/>
    <col min="3" max="3" width="20" customWidth="1"/>
    <col min="4" max="4" width="21" customWidth="1"/>
    <col min="5" max="5" width="14" customWidth="1"/>
    <col min="6" max="6" width="20" customWidth="1"/>
    <col min="7" max="7" width="13" customWidth="1"/>
    <col min="8" max="11" width="12" customWidth="1"/>
    <col min="12" max="12" width="13" customWidth="1"/>
    <col min="13" max="13" width="15" customWidth="1"/>
    <col min="14" max="14" width="17" customWidth="1"/>
    <col min="15" max="15" width="15" customWidth="1"/>
    <col min="16" max="16" width="19" customWidth="1"/>
  </cols>
  <sheetData>
    <row r="1" spans="1:16" ht="27.75" customHeight="1" x14ac:dyDescent="0.35">
      <c r="A1" s="2" t="s">
        <v>7</v>
      </c>
      <c r="B1" s="2" t="s">
        <v>8</v>
      </c>
      <c r="C1" s="35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</row>
    <row r="2" spans="1:16" ht="15" customHeight="1" x14ac:dyDescent="0.35">
      <c r="A2" s="3" t="s">
        <v>23</v>
      </c>
      <c r="B2" s="3" t="s">
        <v>24</v>
      </c>
      <c r="C2" s="5">
        <v>16.919</v>
      </c>
      <c r="D2" s="5">
        <v>16.36</v>
      </c>
      <c r="E2" s="3" t="s">
        <v>25</v>
      </c>
      <c r="F2" s="5">
        <v>21.5</v>
      </c>
      <c r="G2" s="6">
        <v>1.8</v>
      </c>
      <c r="H2" s="7">
        <v>140</v>
      </c>
      <c r="I2" s="5">
        <v>101.2</v>
      </c>
      <c r="J2" s="5">
        <v>67.3</v>
      </c>
      <c r="K2" s="5">
        <v>172.4</v>
      </c>
      <c r="L2" s="6">
        <v>2.6389999999999998</v>
      </c>
      <c r="M2" s="5">
        <v>13.2</v>
      </c>
      <c r="N2" s="6">
        <v>28</v>
      </c>
      <c r="O2" s="8">
        <v>40941</v>
      </c>
      <c r="P2" s="5">
        <v>58.280149520000002</v>
      </c>
    </row>
    <row r="3" spans="1:16" ht="15" customHeight="1" x14ac:dyDescent="0.35">
      <c r="A3" s="4" t="s">
        <v>23</v>
      </c>
      <c r="B3" s="4" t="s">
        <v>27</v>
      </c>
      <c r="C3" s="9">
        <v>39.384</v>
      </c>
      <c r="D3" s="9">
        <v>19.875</v>
      </c>
      <c r="E3" s="4" t="s">
        <v>25</v>
      </c>
      <c r="F3" s="9">
        <v>28.4</v>
      </c>
      <c r="G3" s="10">
        <v>3.2</v>
      </c>
      <c r="H3" s="11">
        <v>225</v>
      </c>
      <c r="I3" s="9">
        <v>108.1</v>
      </c>
      <c r="J3" s="9">
        <v>70.3</v>
      </c>
      <c r="K3" s="9">
        <v>192.9</v>
      </c>
      <c r="L3" s="10">
        <v>3.5169999999999999</v>
      </c>
      <c r="M3" s="9">
        <v>17.2</v>
      </c>
      <c r="N3" s="10">
        <v>25</v>
      </c>
      <c r="O3" s="12">
        <v>40697</v>
      </c>
      <c r="P3" s="9">
        <v>91.370777660000002</v>
      </c>
    </row>
    <row r="4" spans="1:16" ht="15" customHeight="1" x14ac:dyDescent="0.35">
      <c r="A4" s="3" t="s">
        <v>23</v>
      </c>
      <c r="B4" s="3" t="s">
        <v>29</v>
      </c>
      <c r="C4" s="5">
        <v>14.114000000000001</v>
      </c>
      <c r="D4" s="5">
        <v>18.225000000000001</v>
      </c>
      <c r="E4" s="3" t="s">
        <v>25</v>
      </c>
      <c r="F4" s="13">
        <v>22.695</v>
      </c>
      <c r="G4" s="6">
        <v>3.2</v>
      </c>
      <c r="H4" s="7">
        <v>225</v>
      </c>
      <c r="I4" s="5">
        <v>106.9</v>
      </c>
      <c r="J4" s="5">
        <v>70.599999999999994</v>
      </c>
      <c r="K4" s="5">
        <v>192</v>
      </c>
      <c r="L4" s="6">
        <v>3.47</v>
      </c>
      <c r="M4" s="5">
        <v>17.2</v>
      </c>
      <c r="N4" s="6">
        <v>26</v>
      </c>
      <c r="O4" s="8">
        <v>40912</v>
      </c>
      <c r="P4" s="13">
        <v>71.191000000000003</v>
      </c>
    </row>
    <row r="5" spans="1:16" ht="15" customHeight="1" x14ac:dyDescent="0.35">
      <c r="A5" s="4" t="s">
        <v>23</v>
      </c>
      <c r="B5" s="4" t="s">
        <v>31</v>
      </c>
      <c r="C5" s="9">
        <v>8.5879999999999992</v>
      </c>
      <c r="D5" s="9">
        <v>29.725000000000001</v>
      </c>
      <c r="E5" s="4" t="s">
        <v>25</v>
      </c>
      <c r="F5" s="9">
        <v>42</v>
      </c>
      <c r="G5" s="10">
        <v>3.5</v>
      </c>
      <c r="H5" s="11">
        <v>210</v>
      </c>
      <c r="I5" s="9">
        <v>114.6</v>
      </c>
      <c r="J5" s="9">
        <v>71.400000000000006</v>
      </c>
      <c r="K5" s="9">
        <v>196.6</v>
      </c>
      <c r="L5" s="10">
        <v>3.85</v>
      </c>
      <c r="M5" s="9">
        <v>18</v>
      </c>
      <c r="N5" s="10">
        <v>22</v>
      </c>
      <c r="O5" s="12">
        <v>40612</v>
      </c>
      <c r="P5" s="9">
        <v>91.389779329999996</v>
      </c>
    </row>
    <row r="6" spans="1:16" ht="15" customHeight="1" x14ac:dyDescent="0.35">
      <c r="A6" s="3" t="s">
        <v>33</v>
      </c>
      <c r="B6" s="3" t="s">
        <v>34</v>
      </c>
      <c r="C6" s="5">
        <v>20.396999999999998</v>
      </c>
      <c r="D6" s="5">
        <v>22.254999999999999</v>
      </c>
      <c r="E6" s="3" t="s">
        <v>25</v>
      </c>
      <c r="F6" s="5">
        <v>23.99</v>
      </c>
      <c r="G6" s="6">
        <v>1.8</v>
      </c>
      <c r="H6" s="7">
        <v>150</v>
      </c>
      <c r="I6" s="5">
        <v>102.6</v>
      </c>
      <c r="J6" s="5">
        <v>68.2</v>
      </c>
      <c r="K6" s="5">
        <v>178</v>
      </c>
      <c r="L6" s="6">
        <v>2.9980000000000002</v>
      </c>
      <c r="M6" s="5">
        <v>16.399999999999999</v>
      </c>
      <c r="N6" s="6">
        <v>27</v>
      </c>
      <c r="O6" s="8">
        <v>40824</v>
      </c>
      <c r="P6" s="5">
        <v>62.777639200000003</v>
      </c>
    </row>
    <row r="7" spans="1:16" ht="15" customHeight="1" x14ac:dyDescent="0.35">
      <c r="A7" s="4" t="s">
        <v>33</v>
      </c>
      <c r="B7" s="4" t="s">
        <v>36</v>
      </c>
      <c r="C7" s="9">
        <v>18.78</v>
      </c>
      <c r="D7" s="9">
        <v>23.555</v>
      </c>
      <c r="E7" s="4" t="s">
        <v>25</v>
      </c>
      <c r="F7" s="9">
        <v>33.950000000000003</v>
      </c>
      <c r="G7" s="10">
        <v>2.8</v>
      </c>
      <c r="H7" s="11">
        <v>200</v>
      </c>
      <c r="I7" s="9">
        <v>108.7</v>
      </c>
      <c r="J7" s="9">
        <v>76.099999999999994</v>
      </c>
      <c r="K7" s="9">
        <v>192</v>
      </c>
      <c r="L7" s="10">
        <v>3.5609999999999999</v>
      </c>
      <c r="M7" s="9">
        <v>18.5</v>
      </c>
      <c r="N7" s="10">
        <v>22</v>
      </c>
      <c r="O7" s="12">
        <v>40764</v>
      </c>
      <c r="P7" s="9">
        <v>84.565105020000004</v>
      </c>
    </row>
    <row r="8" spans="1:16" ht="15" customHeight="1" x14ac:dyDescent="0.35">
      <c r="A8" s="3" t="s">
        <v>33</v>
      </c>
      <c r="B8" s="3" t="s">
        <v>38</v>
      </c>
      <c r="C8" s="5">
        <v>1.38</v>
      </c>
      <c r="D8" s="5">
        <v>39</v>
      </c>
      <c r="E8" s="3" t="s">
        <v>25</v>
      </c>
      <c r="F8" s="5">
        <v>62</v>
      </c>
      <c r="G8" s="6">
        <v>4.2</v>
      </c>
      <c r="H8" s="7">
        <v>310</v>
      </c>
      <c r="I8" s="5">
        <v>113</v>
      </c>
      <c r="J8" s="5">
        <v>74</v>
      </c>
      <c r="K8" s="5">
        <v>198.2</v>
      </c>
      <c r="L8" s="6">
        <v>3.9020000000000001</v>
      </c>
      <c r="M8" s="5">
        <v>23.7</v>
      </c>
      <c r="N8" s="6">
        <v>21</v>
      </c>
      <c r="O8" s="8">
        <v>40966</v>
      </c>
      <c r="P8" s="5">
        <v>134.65685819999999</v>
      </c>
    </row>
    <row r="9" spans="1:16" ht="15" customHeight="1" x14ac:dyDescent="0.35">
      <c r="A9" s="4" t="s">
        <v>40</v>
      </c>
      <c r="B9" s="4" t="s">
        <v>41</v>
      </c>
      <c r="C9" s="9">
        <v>19.747</v>
      </c>
      <c r="D9" s="9"/>
      <c r="E9" s="4" t="s">
        <v>25</v>
      </c>
      <c r="F9" s="9">
        <v>26.99</v>
      </c>
      <c r="G9" s="10">
        <v>2.5</v>
      </c>
      <c r="H9" s="11">
        <v>170</v>
      </c>
      <c r="I9" s="9">
        <v>107.3</v>
      </c>
      <c r="J9" s="9">
        <v>68.400000000000006</v>
      </c>
      <c r="K9" s="9">
        <v>176</v>
      </c>
      <c r="L9" s="10">
        <v>3.1789999999999998</v>
      </c>
      <c r="M9" s="9">
        <v>16.600000000000001</v>
      </c>
      <c r="N9" s="10">
        <v>26</v>
      </c>
      <c r="O9" s="12">
        <v>40722</v>
      </c>
      <c r="P9" s="9">
        <v>71.191206710000003</v>
      </c>
    </row>
    <row r="10" spans="1:16" ht="15" customHeight="1" x14ac:dyDescent="0.35">
      <c r="A10" s="3" t="s">
        <v>40</v>
      </c>
      <c r="B10" s="3" t="s">
        <v>43</v>
      </c>
      <c r="C10" s="5">
        <v>9.2309999999999999</v>
      </c>
      <c r="D10" s="5">
        <v>28.675000000000001</v>
      </c>
      <c r="E10" s="3" t="s">
        <v>25</v>
      </c>
      <c r="F10" s="5">
        <v>33.4</v>
      </c>
      <c r="G10" s="6">
        <v>2.8</v>
      </c>
      <c r="H10" s="7">
        <v>193</v>
      </c>
      <c r="I10" s="5">
        <v>107.3</v>
      </c>
      <c r="J10" s="5">
        <v>68.5</v>
      </c>
      <c r="K10" s="5">
        <v>176</v>
      </c>
      <c r="L10" s="6">
        <v>3.1970000000000001</v>
      </c>
      <c r="M10" s="5">
        <v>16.600000000000001</v>
      </c>
      <c r="N10" s="6">
        <v>24</v>
      </c>
      <c r="O10" s="8">
        <v>40937</v>
      </c>
      <c r="P10" s="5">
        <v>81.877068559999998</v>
      </c>
    </row>
    <row r="11" spans="1:16" ht="15" customHeight="1" x14ac:dyDescent="0.35">
      <c r="A11" s="4" t="s">
        <v>40</v>
      </c>
      <c r="B11" s="4" t="s">
        <v>45</v>
      </c>
      <c r="C11" s="9">
        <v>17.527000000000001</v>
      </c>
      <c r="D11" s="9">
        <v>36.125</v>
      </c>
      <c r="E11" s="4" t="s">
        <v>25</v>
      </c>
      <c r="F11" s="9">
        <v>38.9</v>
      </c>
      <c r="G11" s="10">
        <v>2.8</v>
      </c>
      <c r="H11" s="11">
        <v>193</v>
      </c>
      <c r="I11" s="9">
        <v>111.4</v>
      </c>
      <c r="J11" s="9">
        <v>70.900000000000006</v>
      </c>
      <c r="K11" s="9">
        <v>188</v>
      </c>
      <c r="L11" s="10">
        <v>3.472</v>
      </c>
      <c r="M11" s="9">
        <v>18.5</v>
      </c>
      <c r="N11" s="10">
        <v>25</v>
      </c>
      <c r="O11" s="12">
        <v>40637</v>
      </c>
      <c r="P11" s="9">
        <v>83.998723799999993</v>
      </c>
    </row>
    <row r="12" spans="1:16" ht="15" customHeight="1" x14ac:dyDescent="0.35">
      <c r="A12" s="3" t="s">
        <v>47</v>
      </c>
      <c r="B12" s="3" t="s">
        <v>48</v>
      </c>
      <c r="C12" s="5">
        <v>91.561000000000007</v>
      </c>
      <c r="D12" s="5">
        <v>12.475</v>
      </c>
      <c r="E12" s="3" t="s">
        <v>25</v>
      </c>
      <c r="F12" s="5">
        <v>21.975000000000001</v>
      </c>
      <c r="G12" s="6">
        <v>3.1</v>
      </c>
      <c r="H12" s="7">
        <v>175</v>
      </c>
      <c r="I12" s="5">
        <v>109</v>
      </c>
      <c r="J12" s="5">
        <v>72.7</v>
      </c>
      <c r="K12" s="5">
        <v>194.6</v>
      </c>
      <c r="L12" s="6">
        <v>3.3679999999999999</v>
      </c>
      <c r="M12" s="5">
        <v>17.5</v>
      </c>
      <c r="N12" s="6">
        <v>25</v>
      </c>
      <c r="O12" s="8">
        <v>40849</v>
      </c>
      <c r="P12" s="5">
        <v>71.181451319999994</v>
      </c>
    </row>
    <row r="13" spans="1:16" ht="15" customHeight="1" x14ac:dyDescent="0.35">
      <c r="A13" s="4" t="s">
        <v>47</v>
      </c>
      <c r="B13" s="4" t="s">
        <v>50</v>
      </c>
      <c r="C13" s="9">
        <v>39.35</v>
      </c>
      <c r="D13" s="9">
        <v>13.74</v>
      </c>
      <c r="E13" s="4" t="s">
        <v>25</v>
      </c>
      <c r="F13" s="9">
        <v>25.3</v>
      </c>
      <c r="G13" s="10">
        <v>3.8</v>
      </c>
      <c r="H13" s="11">
        <v>240</v>
      </c>
      <c r="I13" s="9">
        <v>109</v>
      </c>
      <c r="J13" s="9">
        <v>72.7</v>
      </c>
      <c r="K13" s="9">
        <v>196.2</v>
      </c>
      <c r="L13" s="10">
        <v>3.5430000000000001</v>
      </c>
      <c r="M13" s="9">
        <v>17.5</v>
      </c>
      <c r="N13" s="10">
        <v>23</v>
      </c>
      <c r="O13" s="12">
        <v>40789</v>
      </c>
      <c r="P13" s="9">
        <v>95.636702529999994</v>
      </c>
    </row>
    <row r="14" spans="1:16" ht="15" customHeight="1" x14ac:dyDescent="0.35">
      <c r="A14" s="3" t="s">
        <v>47</v>
      </c>
      <c r="B14" s="3" t="s">
        <v>52</v>
      </c>
      <c r="C14" s="5">
        <v>27.850999999999999</v>
      </c>
      <c r="D14" s="5">
        <v>20.190000000000001</v>
      </c>
      <c r="E14" s="3" t="s">
        <v>25</v>
      </c>
      <c r="F14" s="5">
        <v>31.965</v>
      </c>
      <c r="G14" s="6">
        <v>3.8</v>
      </c>
      <c r="H14" s="7">
        <v>205</v>
      </c>
      <c r="I14" s="5">
        <v>113.8</v>
      </c>
      <c r="J14" s="5">
        <v>74.7</v>
      </c>
      <c r="K14" s="5">
        <v>206.8</v>
      </c>
      <c r="L14" s="6">
        <v>3.778</v>
      </c>
      <c r="M14" s="5">
        <v>18.5</v>
      </c>
      <c r="N14" s="6">
        <v>24</v>
      </c>
      <c r="O14" s="8">
        <v>40991</v>
      </c>
      <c r="P14" s="5">
        <v>85.828408249999995</v>
      </c>
    </row>
    <row r="15" spans="1:16" ht="15" customHeight="1" x14ac:dyDescent="0.35">
      <c r="A15" s="4" t="s">
        <v>47</v>
      </c>
      <c r="B15" s="4" t="s">
        <v>54</v>
      </c>
      <c r="C15" s="9">
        <v>83.257000000000005</v>
      </c>
      <c r="D15" s="9">
        <v>13.36</v>
      </c>
      <c r="E15" s="4" t="s">
        <v>25</v>
      </c>
      <c r="F15" s="9">
        <v>27.885000000000002</v>
      </c>
      <c r="G15" s="10">
        <v>3.8</v>
      </c>
      <c r="H15" s="11">
        <v>205</v>
      </c>
      <c r="I15" s="9">
        <v>112.2</v>
      </c>
      <c r="J15" s="9">
        <v>73.5</v>
      </c>
      <c r="K15" s="9">
        <v>200</v>
      </c>
      <c r="L15" s="10">
        <v>3.5910000000000002</v>
      </c>
      <c r="M15" s="9">
        <v>17.5</v>
      </c>
      <c r="N15" s="10">
        <v>25</v>
      </c>
      <c r="O15" s="12">
        <v>40747</v>
      </c>
      <c r="P15" s="9">
        <v>84.254525810000004</v>
      </c>
    </row>
    <row r="16" spans="1:16" ht="15" customHeight="1" x14ac:dyDescent="0.35">
      <c r="A16" s="3" t="s">
        <v>56</v>
      </c>
      <c r="B16" s="3" t="s">
        <v>57</v>
      </c>
      <c r="C16" s="5">
        <v>63.728999999999999</v>
      </c>
      <c r="D16" s="5">
        <v>22.524999999999999</v>
      </c>
      <c r="E16" s="3" t="s">
        <v>25</v>
      </c>
      <c r="F16" s="5">
        <v>39.895000000000003</v>
      </c>
      <c r="G16" s="6">
        <v>4.5999999999999996</v>
      </c>
      <c r="H16" s="7">
        <v>275</v>
      </c>
      <c r="I16" s="5">
        <v>115.3</v>
      </c>
      <c r="J16" s="5">
        <v>74.5</v>
      </c>
      <c r="K16" s="5">
        <v>207.2</v>
      </c>
      <c r="L16" s="6">
        <v>3.9780000000000002</v>
      </c>
      <c r="M16" s="5">
        <v>18.5</v>
      </c>
      <c r="N16" s="6">
        <v>22</v>
      </c>
      <c r="O16" s="8">
        <v>40962</v>
      </c>
      <c r="P16" s="5">
        <v>113.85459760000001</v>
      </c>
    </row>
    <row r="17" spans="1:16" ht="15" customHeight="1" x14ac:dyDescent="0.35">
      <c r="A17" s="4" t="s">
        <v>56</v>
      </c>
      <c r="B17" s="4" t="s">
        <v>59</v>
      </c>
      <c r="C17" s="9">
        <v>15.943</v>
      </c>
      <c r="D17" s="9">
        <v>27.1</v>
      </c>
      <c r="E17" s="4" t="s">
        <v>25</v>
      </c>
      <c r="F17" s="9">
        <v>44.475000000000001</v>
      </c>
      <c r="G17" s="10">
        <v>4.5999999999999996</v>
      </c>
      <c r="H17" s="11">
        <v>275</v>
      </c>
      <c r="I17" s="9">
        <v>112.2</v>
      </c>
      <c r="J17" s="9">
        <v>75</v>
      </c>
      <c r="K17" s="9">
        <v>201</v>
      </c>
      <c r="L17" s="14">
        <v>3.1970000000000001</v>
      </c>
      <c r="M17" s="9">
        <v>18.5</v>
      </c>
      <c r="N17" s="10">
        <v>22</v>
      </c>
      <c r="O17" s="12">
        <v>40662</v>
      </c>
      <c r="P17" s="9">
        <v>115.6213578</v>
      </c>
    </row>
    <row r="18" spans="1:16" ht="15" customHeight="1" x14ac:dyDescent="0.35">
      <c r="A18" s="3" t="s">
        <v>56</v>
      </c>
      <c r="B18" s="3" t="s">
        <v>61</v>
      </c>
      <c r="C18" s="5">
        <v>6.5359999999999996</v>
      </c>
      <c r="D18" s="5">
        <v>25.725000000000001</v>
      </c>
      <c r="E18" s="3" t="s">
        <v>25</v>
      </c>
      <c r="F18" s="5">
        <v>39.664999999999999</v>
      </c>
      <c r="G18" s="6">
        <v>4.5999999999999996</v>
      </c>
      <c r="H18" s="7">
        <v>275</v>
      </c>
      <c r="I18" s="5">
        <v>108</v>
      </c>
      <c r="J18" s="5">
        <v>75.5</v>
      </c>
      <c r="K18" s="5">
        <v>200.6</v>
      </c>
      <c r="L18" s="6">
        <v>3.843</v>
      </c>
      <c r="M18" s="5">
        <v>19</v>
      </c>
      <c r="N18" s="6">
        <v>22</v>
      </c>
      <c r="O18" s="8">
        <v>40874</v>
      </c>
      <c r="P18" s="5">
        <v>113.7658739</v>
      </c>
    </row>
    <row r="19" spans="1:16" ht="15" customHeight="1" x14ac:dyDescent="0.35">
      <c r="A19" s="4" t="s">
        <v>56</v>
      </c>
      <c r="B19" s="4" t="s">
        <v>63</v>
      </c>
      <c r="C19" s="9">
        <v>11.185</v>
      </c>
      <c r="D19" s="9">
        <v>18.225000000000001</v>
      </c>
      <c r="E19" s="4" t="s">
        <v>25</v>
      </c>
      <c r="F19" s="9">
        <v>31.01</v>
      </c>
      <c r="G19" s="10">
        <v>3</v>
      </c>
      <c r="H19" s="11">
        <v>200</v>
      </c>
      <c r="I19" s="9">
        <v>107.4</v>
      </c>
      <c r="J19" s="9">
        <v>70.3</v>
      </c>
      <c r="K19" s="9">
        <v>194.8</v>
      </c>
      <c r="L19" s="10">
        <v>3.77</v>
      </c>
      <c r="M19" s="9">
        <v>18</v>
      </c>
      <c r="N19" s="10">
        <v>22</v>
      </c>
      <c r="O19" s="12">
        <v>40814</v>
      </c>
      <c r="P19" s="9">
        <v>83.483093580000002</v>
      </c>
    </row>
    <row r="20" spans="1:16" ht="15" customHeight="1" x14ac:dyDescent="0.35">
      <c r="A20" s="3" t="s">
        <v>56</v>
      </c>
      <c r="B20" s="3" t="s">
        <v>65</v>
      </c>
      <c r="C20" s="5">
        <v>14.785</v>
      </c>
      <c r="D20" s="5"/>
      <c r="E20" s="3" t="s">
        <v>66</v>
      </c>
      <c r="F20" s="5">
        <v>46.225000000000001</v>
      </c>
      <c r="G20" s="6">
        <v>5.7</v>
      </c>
      <c r="H20" s="7">
        <v>255</v>
      </c>
      <c r="I20" s="5">
        <v>117.5</v>
      </c>
      <c r="J20" s="5">
        <v>77</v>
      </c>
      <c r="K20" s="5">
        <v>201.2</v>
      </c>
      <c r="L20" s="6">
        <v>5.5720000000000001</v>
      </c>
      <c r="M20" s="5">
        <v>30</v>
      </c>
      <c r="N20" s="6">
        <v>15</v>
      </c>
      <c r="O20" s="8">
        <v>41016</v>
      </c>
      <c r="P20" s="5">
        <v>109.5091165</v>
      </c>
    </row>
    <row r="21" spans="1:16" ht="15" customHeight="1" x14ac:dyDescent="0.35">
      <c r="A21" s="4" t="s">
        <v>68</v>
      </c>
      <c r="B21" s="4" t="s">
        <v>69</v>
      </c>
      <c r="C21" s="9">
        <v>145.51900000000001</v>
      </c>
      <c r="D21" s="9">
        <v>9.25</v>
      </c>
      <c r="E21" s="4" t="s">
        <v>25</v>
      </c>
      <c r="F21" s="9">
        <v>13.26</v>
      </c>
      <c r="G21" s="10">
        <v>2.2000000000000002</v>
      </c>
      <c r="H21" s="11">
        <v>115</v>
      </c>
      <c r="I21" s="9">
        <v>104.1</v>
      </c>
      <c r="J21" s="9">
        <v>67.900000000000006</v>
      </c>
      <c r="K21" s="9">
        <v>180.9</v>
      </c>
      <c r="L21" s="10">
        <v>2.6760000000000002</v>
      </c>
      <c r="M21" s="9">
        <v>14.3</v>
      </c>
      <c r="N21" s="10">
        <v>27</v>
      </c>
      <c r="O21" s="12">
        <v>40772</v>
      </c>
      <c r="P21" s="9">
        <v>46.363347470000001</v>
      </c>
    </row>
    <row r="22" spans="1:16" ht="15" customHeight="1" x14ac:dyDescent="0.35">
      <c r="A22" s="3" t="s">
        <v>68</v>
      </c>
      <c r="B22" s="3" t="s">
        <v>71</v>
      </c>
      <c r="C22" s="5">
        <v>135.126</v>
      </c>
      <c r="D22" s="5">
        <v>11.225</v>
      </c>
      <c r="E22" s="3" t="s">
        <v>25</v>
      </c>
      <c r="F22" s="5">
        <v>16.535</v>
      </c>
      <c r="G22" s="6">
        <v>3.1</v>
      </c>
      <c r="H22" s="7">
        <v>170</v>
      </c>
      <c r="I22" s="5">
        <v>107</v>
      </c>
      <c r="J22" s="5">
        <v>69.400000000000006</v>
      </c>
      <c r="K22" s="5">
        <v>190.4</v>
      </c>
      <c r="L22" s="6">
        <v>3.0510000000000002</v>
      </c>
      <c r="M22" s="5">
        <v>15</v>
      </c>
      <c r="N22" s="6">
        <v>25</v>
      </c>
      <c r="O22" s="8">
        <v>40987</v>
      </c>
      <c r="P22" s="5">
        <v>67.314462160000005</v>
      </c>
    </row>
    <row r="23" spans="1:16" ht="15" customHeight="1" x14ac:dyDescent="0.35">
      <c r="A23" s="4" t="s">
        <v>68</v>
      </c>
      <c r="B23" s="4" t="s">
        <v>73</v>
      </c>
      <c r="C23" s="9">
        <v>24.629000000000001</v>
      </c>
      <c r="D23" s="9">
        <v>10.31</v>
      </c>
      <c r="E23" s="4" t="s">
        <v>25</v>
      </c>
      <c r="F23" s="9">
        <v>18.89</v>
      </c>
      <c r="G23" s="10">
        <v>3.1</v>
      </c>
      <c r="H23" s="11">
        <v>175</v>
      </c>
      <c r="I23" s="9">
        <v>107.5</v>
      </c>
      <c r="J23" s="9">
        <v>72.5</v>
      </c>
      <c r="K23" s="9">
        <v>200.9</v>
      </c>
      <c r="L23" s="10">
        <v>3.33</v>
      </c>
      <c r="M23" s="9">
        <v>16.600000000000001</v>
      </c>
      <c r="N23" s="10">
        <v>25</v>
      </c>
      <c r="O23" s="12">
        <v>40687</v>
      </c>
      <c r="P23" s="9">
        <v>69.991395600000004</v>
      </c>
    </row>
    <row r="24" spans="1:16" ht="15" customHeight="1" x14ac:dyDescent="0.35">
      <c r="A24" s="3" t="s">
        <v>68</v>
      </c>
      <c r="B24" s="3" t="s">
        <v>75</v>
      </c>
      <c r="C24" s="5">
        <v>42.593000000000004</v>
      </c>
      <c r="D24" s="5">
        <v>11.525</v>
      </c>
      <c r="E24" s="3" t="s">
        <v>25</v>
      </c>
      <c r="F24" s="5">
        <v>19.39</v>
      </c>
      <c r="G24" s="6">
        <v>3.4</v>
      </c>
      <c r="H24" s="7">
        <v>180</v>
      </c>
      <c r="I24" s="5">
        <v>110.5</v>
      </c>
      <c r="J24" s="5">
        <v>72.7</v>
      </c>
      <c r="K24" s="5">
        <v>197.9</v>
      </c>
      <c r="L24" s="6">
        <v>3.34</v>
      </c>
      <c r="M24" s="5">
        <v>17</v>
      </c>
      <c r="N24" s="6">
        <v>27</v>
      </c>
      <c r="O24" s="8">
        <v>40899</v>
      </c>
      <c r="P24" s="5">
        <v>72.030917189999997</v>
      </c>
    </row>
    <row r="25" spans="1:16" ht="15" customHeight="1" x14ac:dyDescent="0.35">
      <c r="A25" s="4" t="s">
        <v>68</v>
      </c>
      <c r="B25" s="4" t="s">
        <v>77</v>
      </c>
      <c r="C25" s="9">
        <v>26.402000000000001</v>
      </c>
      <c r="D25" s="9">
        <v>13.025</v>
      </c>
      <c r="E25" s="4" t="s">
        <v>25</v>
      </c>
      <c r="F25" s="9">
        <v>24.34</v>
      </c>
      <c r="G25" s="10">
        <v>3.8</v>
      </c>
      <c r="H25" s="11">
        <v>200</v>
      </c>
      <c r="I25" s="9">
        <v>101.1</v>
      </c>
      <c r="J25" s="9">
        <v>74.099999999999994</v>
      </c>
      <c r="K25" s="9">
        <v>193.2</v>
      </c>
      <c r="L25" s="10">
        <v>3.5</v>
      </c>
      <c r="M25" s="9">
        <v>16.8</v>
      </c>
      <c r="N25" s="10">
        <v>25</v>
      </c>
      <c r="O25" s="12">
        <v>40839</v>
      </c>
      <c r="P25" s="9">
        <v>81.118543329999994</v>
      </c>
    </row>
    <row r="26" spans="1:16" ht="15" customHeight="1" x14ac:dyDescent="0.35">
      <c r="A26" s="3" t="s">
        <v>68</v>
      </c>
      <c r="B26" s="3" t="s">
        <v>79</v>
      </c>
      <c r="C26" s="5">
        <v>17.946999999999999</v>
      </c>
      <c r="D26" s="5">
        <v>36.225000000000001</v>
      </c>
      <c r="E26" s="3" t="s">
        <v>25</v>
      </c>
      <c r="F26" s="5">
        <v>45.704999999999998</v>
      </c>
      <c r="G26" s="6">
        <v>5.7</v>
      </c>
      <c r="H26" s="7">
        <v>345</v>
      </c>
      <c r="I26" s="5">
        <v>104.5</v>
      </c>
      <c r="J26" s="5">
        <v>73.599999999999994</v>
      </c>
      <c r="K26" s="5">
        <v>179.7</v>
      </c>
      <c r="L26" s="6">
        <v>3.21</v>
      </c>
      <c r="M26" s="5">
        <v>19.100000000000001</v>
      </c>
      <c r="N26" s="6">
        <v>22</v>
      </c>
      <c r="O26" s="8">
        <v>41041</v>
      </c>
      <c r="P26" s="5">
        <v>141.14115000000001</v>
      </c>
    </row>
    <row r="27" spans="1:16" ht="15" customHeight="1" x14ac:dyDescent="0.35">
      <c r="A27" s="4" t="s">
        <v>68</v>
      </c>
      <c r="B27" s="4" t="s">
        <v>81</v>
      </c>
      <c r="C27" s="9">
        <v>32.298999999999999</v>
      </c>
      <c r="D27" s="9">
        <v>9.125</v>
      </c>
      <c r="E27" s="4" t="s">
        <v>25</v>
      </c>
      <c r="F27" s="9">
        <v>13.96</v>
      </c>
      <c r="G27" s="10">
        <v>1.8</v>
      </c>
      <c r="H27" s="11">
        <v>120</v>
      </c>
      <c r="I27" s="9">
        <v>97.1</v>
      </c>
      <c r="J27" s="9">
        <v>66.7</v>
      </c>
      <c r="K27" s="9">
        <v>174.3</v>
      </c>
      <c r="L27" s="10">
        <v>2.3980000000000001</v>
      </c>
      <c r="M27" s="9">
        <v>13.2</v>
      </c>
      <c r="N27" s="10">
        <v>33</v>
      </c>
      <c r="O27" s="12">
        <v>40797</v>
      </c>
      <c r="P27" s="9">
        <v>48.297636099999998</v>
      </c>
    </row>
    <row r="28" spans="1:16" ht="15" customHeight="1" x14ac:dyDescent="0.35">
      <c r="A28" s="3" t="s">
        <v>68</v>
      </c>
      <c r="B28" s="3" t="s">
        <v>83</v>
      </c>
      <c r="C28" s="5">
        <v>21.855</v>
      </c>
      <c r="D28" s="5">
        <v>5.16</v>
      </c>
      <c r="E28" s="3" t="s">
        <v>25</v>
      </c>
      <c r="F28" s="5">
        <v>9.2349999999999994</v>
      </c>
      <c r="G28" s="6">
        <v>1</v>
      </c>
      <c r="H28" s="7">
        <v>55</v>
      </c>
      <c r="I28" s="5">
        <v>93.1</v>
      </c>
      <c r="J28" s="5">
        <v>62.6</v>
      </c>
      <c r="K28" s="5">
        <v>149.4</v>
      </c>
      <c r="L28" s="6">
        <v>1.895</v>
      </c>
      <c r="M28" s="5">
        <v>10.3</v>
      </c>
      <c r="N28" s="6">
        <v>45</v>
      </c>
      <c r="O28" s="8">
        <v>41012</v>
      </c>
      <c r="P28" s="5">
        <v>23.276272330000001</v>
      </c>
    </row>
    <row r="29" spans="1:16" ht="15" customHeight="1" x14ac:dyDescent="0.35">
      <c r="A29" s="4" t="s">
        <v>68</v>
      </c>
      <c r="B29" s="4" t="s">
        <v>85</v>
      </c>
      <c r="C29" s="9">
        <v>107.995</v>
      </c>
      <c r="D29" s="9"/>
      <c r="E29" s="4" t="s">
        <v>25</v>
      </c>
      <c r="F29" s="9">
        <v>18.89</v>
      </c>
      <c r="G29" s="10">
        <v>3.4</v>
      </c>
      <c r="H29" s="11">
        <v>180</v>
      </c>
      <c r="I29" s="9">
        <v>110.5</v>
      </c>
      <c r="J29" s="9">
        <v>73</v>
      </c>
      <c r="K29" s="9">
        <v>200</v>
      </c>
      <c r="L29" s="10">
        <v>3.3889999999999998</v>
      </c>
      <c r="M29" s="9">
        <v>17</v>
      </c>
      <c r="N29" s="10">
        <v>27</v>
      </c>
      <c r="O29" s="12">
        <v>40712</v>
      </c>
      <c r="P29" s="9">
        <v>71.838039440000003</v>
      </c>
    </row>
    <row r="30" spans="1:16" ht="15" customHeight="1" x14ac:dyDescent="0.35">
      <c r="A30" s="3" t="s">
        <v>87</v>
      </c>
      <c r="B30" s="3" t="s">
        <v>88</v>
      </c>
      <c r="C30" s="5">
        <v>7.8540000000000001</v>
      </c>
      <c r="D30" s="5">
        <v>12.36</v>
      </c>
      <c r="E30" s="3" t="s">
        <v>25</v>
      </c>
      <c r="F30" s="5">
        <v>19.84</v>
      </c>
      <c r="G30" s="6">
        <v>2.5</v>
      </c>
      <c r="H30" s="7">
        <v>163</v>
      </c>
      <c r="I30" s="5">
        <v>103.7</v>
      </c>
      <c r="J30" s="5">
        <v>69.7</v>
      </c>
      <c r="K30" s="5">
        <v>190.9</v>
      </c>
      <c r="L30" s="6">
        <v>2.9670000000000001</v>
      </c>
      <c r="M30" s="5">
        <v>15.9</v>
      </c>
      <c r="N30" s="6">
        <v>24</v>
      </c>
      <c r="O30" s="8">
        <v>40924</v>
      </c>
      <c r="P30" s="5">
        <v>65.957183959999995</v>
      </c>
    </row>
    <row r="31" spans="1:16" ht="15" customHeight="1" x14ac:dyDescent="0.35">
      <c r="A31" s="4" t="s">
        <v>87</v>
      </c>
      <c r="B31" s="4" t="s">
        <v>90</v>
      </c>
      <c r="C31" s="9">
        <v>32.774999999999999</v>
      </c>
      <c r="D31" s="9">
        <v>14.18</v>
      </c>
      <c r="E31" s="4" t="s">
        <v>25</v>
      </c>
      <c r="F31" s="9">
        <v>24.495000000000001</v>
      </c>
      <c r="G31" s="10">
        <v>2.5</v>
      </c>
      <c r="H31" s="11">
        <v>168</v>
      </c>
      <c r="I31" s="9">
        <v>106</v>
      </c>
      <c r="J31" s="9">
        <v>69.2</v>
      </c>
      <c r="K31" s="9">
        <v>193</v>
      </c>
      <c r="L31" s="10">
        <v>3.3319999999999999</v>
      </c>
      <c r="M31" s="9">
        <v>16</v>
      </c>
      <c r="N31" s="10">
        <v>24</v>
      </c>
      <c r="O31" s="12">
        <v>40864</v>
      </c>
      <c r="P31" s="9">
        <v>69.521355049999997</v>
      </c>
    </row>
    <row r="32" spans="1:16" ht="15" customHeight="1" x14ac:dyDescent="0.35">
      <c r="A32" s="3" t="s">
        <v>87</v>
      </c>
      <c r="B32" s="3" t="s">
        <v>92</v>
      </c>
      <c r="C32" s="5">
        <v>31.148</v>
      </c>
      <c r="D32" s="5">
        <v>13.725</v>
      </c>
      <c r="E32" s="3" t="s">
        <v>25</v>
      </c>
      <c r="F32" s="5">
        <v>22.245000000000001</v>
      </c>
      <c r="G32" s="6">
        <v>2.7</v>
      </c>
      <c r="H32" s="7">
        <v>200</v>
      </c>
      <c r="I32" s="5">
        <v>113</v>
      </c>
      <c r="J32" s="5">
        <v>74.400000000000006</v>
      </c>
      <c r="K32" s="5">
        <v>209.1</v>
      </c>
      <c r="L32" s="6">
        <v>3.452</v>
      </c>
      <c r="M32" s="5">
        <v>17</v>
      </c>
      <c r="N32" s="6">
        <v>26</v>
      </c>
      <c r="O32" s="8">
        <v>41066</v>
      </c>
      <c r="P32" s="5">
        <v>80.02378204</v>
      </c>
    </row>
    <row r="33" spans="1:16" ht="15" customHeight="1" x14ac:dyDescent="0.35">
      <c r="A33" s="4" t="s">
        <v>87</v>
      </c>
      <c r="B33" s="4" t="s">
        <v>94</v>
      </c>
      <c r="C33" s="9">
        <v>32.305999999999997</v>
      </c>
      <c r="D33" s="9">
        <v>12.64</v>
      </c>
      <c r="E33" s="4" t="s">
        <v>25</v>
      </c>
      <c r="F33" s="9">
        <v>16.48</v>
      </c>
      <c r="G33" s="10">
        <v>2</v>
      </c>
      <c r="H33" s="11">
        <v>132</v>
      </c>
      <c r="I33" s="9">
        <v>108</v>
      </c>
      <c r="J33" s="9">
        <v>71</v>
      </c>
      <c r="K33" s="9">
        <v>186</v>
      </c>
      <c r="L33" s="10">
        <v>2.911</v>
      </c>
      <c r="M33" s="9">
        <v>16</v>
      </c>
      <c r="N33" s="10">
        <v>27</v>
      </c>
      <c r="O33" s="12">
        <v>40822</v>
      </c>
      <c r="P33" s="9">
        <v>53.566199869999998</v>
      </c>
    </row>
    <row r="34" spans="1:16" ht="15" customHeight="1" x14ac:dyDescent="0.35">
      <c r="A34" s="3" t="s">
        <v>87</v>
      </c>
      <c r="B34" s="3" t="s">
        <v>96</v>
      </c>
      <c r="C34" s="5">
        <v>13.462</v>
      </c>
      <c r="D34" s="5">
        <v>17.324999999999999</v>
      </c>
      <c r="E34" s="3" t="s">
        <v>25</v>
      </c>
      <c r="F34" s="5">
        <v>28.34</v>
      </c>
      <c r="G34" s="6">
        <v>3.5</v>
      </c>
      <c r="H34" s="7">
        <v>253</v>
      </c>
      <c r="I34" s="5">
        <v>113</v>
      </c>
      <c r="J34" s="5">
        <v>74.400000000000006</v>
      </c>
      <c r="K34" s="5">
        <v>207.7</v>
      </c>
      <c r="L34" s="6">
        <v>3.5640000000000001</v>
      </c>
      <c r="M34" s="5">
        <v>17</v>
      </c>
      <c r="N34" s="6">
        <v>23</v>
      </c>
      <c r="O34" s="8">
        <v>41037</v>
      </c>
      <c r="P34" s="5">
        <v>101.3292807</v>
      </c>
    </row>
    <row r="35" spans="1:16" ht="15" customHeight="1" x14ac:dyDescent="0.35">
      <c r="A35" s="4" t="s">
        <v>87</v>
      </c>
      <c r="B35" s="4" t="s">
        <v>98</v>
      </c>
      <c r="C35" s="9">
        <v>53.48</v>
      </c>
      <c r="D35" s="9">
        <v>19.54</v>
      </c>
      <c r="E35" s="4" t="s">
        <v>66</v>
      </c>
      <c r="F35" s="13">
        <v>24.071999999999999</v>
      </c>
      <c r="G35" s="14">
        <v>3.3</v>
      </c>
      <c r="H35" s="15">
        <v>185</v>
      </c>
      <c r="I35" s="13">
        <v>112.2</v>
      </c>
      <c r="J35" s="13">
        <v>71.95</v>
      </c>
      <c r="K35" s="13">
        <v>191.6</v>
      </c>
      <c r="L35" s="14">
        <v>3.89</v>
      </c>
      <c r="M35" s="13">
        <v>20.7</v>
      </c>
      <c r="N35" s="14">
        <v>19</v>
      </c>
      <c r="O35" s="12">
        <v>40737</v>
      </c>
      <c r="P35" s="13">
        <v>76.153000000000006</v>
      </c>
    </row>
    <row r="36" spans="1:16" ht="15" customHeight="1" x14ac:dyDescent="0.35">
      <c r="A36" s="3" t="s">
        <v>87</v>
      </c>
      <c r="B36" s="3" t="s">
        <v>100</v>
      </c>
      <c r="C36" s="5">
        <v>30.696000000000002</v>
      </c>
      <c r="D36" s="5"/>
      <c r="E36" s="3" t="s">
        <v>25</v>
      </c>
      <c r="F36" s="5">
        <v>29.184999999999999</v>
      </c>
      <c r="G36" s="6">
        <v>3.5</v>
      </c>
      <c r="H36" s="7">
        <v>253</v>
      </c>
      <c r="I36" s="5">
        <v>113</v>
      </c>
      <c r="J36" s="5">
        <v>74.400000000000006</v>
      </c>
      <c r="K36" s="5">
        <v>197.8</v>
      </c>
      <c r="L36" s="6">
        <v>3.5670000000000002</v>
      </c>
      <c r="M36" s="5">
        <v>17</v>
      </c>
      <c r="N36" s="6">
        <v>23</v>
      </c>
      <c r="O36" s="8">
        <v>40949</v>
      </c>
      <c r="P36" s="5">
        <v>101.6552441</v>
      </c>
    </row>
    <row r="37" spans="1:16" ht="15" customHeight="1" x14ac:dyDescent="0.35">
      <c r="A37" s="4" t="s">
        <v>102</v>
      </c>
      <c r="B37" s="4" t="s">
        <v>103</v>
      </c>
      <c r="C37" s="9">
        <v>76.034000000000006</v>
      </c>
      <c r="D37" s="9">
        <v>7.75</v>
      </c>
      <c r="E37" s="4" t="s">
        <v>25</v>
      </c>
      <c r="F37" s="9">
        <v>12.64</v>
      </c>
      <c r="G37" s="10">
        <v>2</v>
      </c>
      <c r="H37" s="11">
        <v>132</v>
      </c>
      <c r="I37" s="9">
        <v>105</v>
      </c>
      <c r="J37" s="9">
        <v>74.400000000000006</v>
      </c>
      <c r="K37" s="9">
        <v>174.4</v>
      </c>
      <c r="L37" s="10">
        <v>2.5670000000000002</v>
      </c>
      <c r="M37" s="9">
        <v>12.5</v>
      </c>
      <c r="N37" s="10">
        <v>29</v>
      </c>
      <c r="O37" s="12">
        <v>40889</v>
      </c>
      <c r="P37" s="9">
        <v>52.084898750000001</v>
      </c>
    </row>
    <row r="38" spans="1:16" ht="15" customHeight="1" x14ac:dyDescent="0.35">
      <c r="A38" s="3" t="s">
        <v>102</v>
      </c>
      <c r="B38" s="3" t="s">
        <v>105</v>
      </c>
      <c r="C38" s="5">
        <v>4.734</v>
      </c>
      <c r="D38" s="5">
        <v>12.545</v>
      </c>
      <c r="E38" s="3" t="s">
        <v>25</v>
      </c>
      <c r="F38" s="5">
        <v>19.045000000000002</v>
      </c>
      <c r="G38" s="6">
        <v>2.5</v>
      </c>
      <c r="H38" s="7">
        <v>163</v>
      </c>
      <c r="I38" s="5">
        <v>103.7</v>
      </c>
      <c r="J38" s="5">
        <v>69.099999999999994</v>
      </c>
      <c r="K38" s="5">
        <v>190.2</v>
      </c>
      <c r="L38" s="6">
        <v>2.879</v>
      </c>
      <c r="M38" s="5">
        <v>15.9</v>
      </c>
      <c r="N38" s="6">
        <v>24</v>
      </c>
      <c r="O38" s="8">
        <v>41091</v>
      </c>
      <c r="P38" s="5">
        <v>65.650508340000002</v>
      </c>
    </row>
    <row r="39" spans="1:16" ht="15" customHeight="1" x14ac:dyDescent="0.35">
      <c r="A39" s="4" t="s">
        <v>102</v>
      </c>
      <c r="B39" s="4" t="s">
        <v>107</v>
      </c>
      <c r="C39" s="9">
        <v>71.186000000000007</v>
      </c>
      <c r="D39" s="9">
        <v>10.185</v>
      </c>
      <c r="E39" s="4" t="s">
        <v>25</v>
      </c>
      <c r="F39" s="9">
        <v>20.23</v>
      </c>
      <c r="G39" s="10">
        <v>2.5</v>
      </c>
      <c r="H39" s="11">
        <v>168</v>
      </c>
      <c r="I39" s="9">
        <v>108</v>
      </c>
      <c r="J39" s="9">
        <v>71</v>
      </c>
      <c r="K39" s="9">
        <v>186</v>
      </c>
      <c r="L39" s="10">
        <v>3.0579999999999998</v>
      </c>
      <c r="M39" s="9">
        <v>16</v>
      </c>
      <c r="N39" s="10">
        <v>24</v>
      </c>
      <c r="O39" s="12">
        <v>40847</v>
      </c>
      <c r="P39" s="9">
        <v>67.876107840000003</v>
      </c>
    </row>
    <row r="40" spans="1:16" ht="15" customHeight="1" x14ac:dyDescent="0.35">
      <c r="A40" s="3" t="s">
        <v>102</v>
      </c>
      <c r="B40" s="3" t="s">
        <v>109</v>
      </c>
      <c r="C40" s="5">
        <v>88.028000000000006</v>
      </c>
      <c r="D40" s="5">
        <v>12.275</v>
      </c>
      <c r="E40" s="3" t="s">
        <v>25</v>
      </c>
      <c r="F40" s="5">
        <v>22.504999999999999</v>
      </c>
      <c r="G40" s="6">
        <v>2.7</v>
      </c>
      <c r="H40" s="7">
        <v>202</v>
      </c>
      <c r="I40" s="5">
        <v>113</v>
      </c>
      <c r="J40" s="5">
        <v>74.7</v>
      </c>
      <c r="K40" s="5">
        <v>203.7</v>
      </c>
      <c r="L40" s="6">
        <v>3.4889999999999999</v>
      </c>
      <c r="M40" s="5">
        <v>17</v>
      </c>
      <c r="N40" s="14">
        <v>25</v>
      </c>
      <c r="O40" s="8">
        <v>41062</v>
      </c>
      <c r="P40" s="5">
        <v>80.831470170000003</v>
      </c>
    </row>
    <row r="41" spans="1:16" ht="15" customHeight="1" x14ac:dyDescent="0.35">
      <c r="A41" s="4" t="s">
        <v>102</v>
      </c>
      <c r="B41" s="4" t="s">
        <v>111</v>
      </c>
      <c r="C41" s="9">
        <v>0.91600000000000004</v>
      </c>
      <c r="D41" s="9">
        <v>58.47</v>
      </c>
      <c r="E41" s="4" t="s">
        <v>25</v>
      </c>
      <c r="F41" s="9">
        <v>69.724999999999994</v>
      </c>
      <c r="G41" s="10">
        <v>8</v>
      </c>
      <c r="H41" s="11">
        <v>450</v>
      </c>
      <c r="I41" s="9">
        <v>96.2</v>
      </c>
      <c r="J41" s="9">
        <v>75.7</v>
      </c>
      <c r="K41" s="9">
        <v>176.7</v>
      </c>
      <c r="L41" s="10">
        <v>3.375</v>
      </c>
      <c r="M41" s="9">
        <v>19</v>
      </c>
      <c r="N41" s="10">
        <v>16</v>
      </c>
      <c r="O41" s="12">
        <v>40762</v>
      </c>
      <c r="P41" s="9">
        <v>188.14432300000001</v>
      </c>
    </row>
    <row r="42" spans="1:16" ht="15" customHeight="1" x14ac:dyDescent="0.35">
      <c r="A42" s="3" t="s">
        <v>102</v>
      </c>
      <c r="B42" s="3" t="s">
        <v>113</v>
      </c>
      <c r="C42" s="5">
        <v>227.06100000000001</v>
      </c>
      <c r="D42" s="5">
        <v>15.06</v>
      </c>
      <c r="E42" s="3" t="s">
        <v>66</v>
      </c>
      <c r="F42" s="5">
        <v>19.46</v>
      </c>
      <c r="G42" s="6">
        <v>5.2</v>
      </c>
      <c r="H42" s="7">
        <v>230</v>
      </c>
      <c r="I42" s="5">
        <v>138.69999999999999</v>
      </c>
      <c r="J42" s="5">
        <v>79.3</v>
      </c>
      <c r="K42" s="5">
        <v>224.2</v>
      </c>
      <c r="L42" s="6">
        <v>4.47</v>
      </c>
      <c r="M42" s="5">
        <v>26</v>
      </c>
      <c r="N42" s="6">
        <v>17</v>
      </c>
      <c r="O42" s="8">
        <v>40974</v>
      </c>
      <c r="P42" s="5">
        <v>90.211700050000005</v>
      </c>
    </row>
    <row r="43" spans="1:16" ht="15" customHeight="1" x14ac:dyDescent="0.35">
      <c r="A43" s="4" t="s">
        <v>102</v>
      </c>
      <c r="B43" s="4" t="s">
        <v>115</v>
      </c>
      <c r="C43" s="9">
        <v>16.766999999999999</v>
      </c>
      <c r="D43" s="9">
        <v>15.51</v>
      </c>
      <c r="E43" s="4" t="s">
        <v>66</v>
      </c>
      <c r="F43" s="9">
        <v>21.315000000000001</v>
      </c>
      <c r="G43" s="10">
        <v>3.9</v>
      </c>
      <c r="H43" s="11">
        <v>175</v>
      </c>
      <c r="I43" s="9">
        <v>109.6</v>
      </c>
      <c r="J43" s="9">
        <v>78.8</v>
      </c>
      <c r="K43" s="9">
        <v>192.6</v>
      </c>
      <c r="L43" s="10">
        <v>4.2450000000000001</v>
      </c>
      <c r="M43" s="9">
        <v>32</v>
      </c>
      <c r="N43" s="10">
        <v>15</v>
      </c>
      <c r="O43" s="12">
        <v>40914</v>
      </c>
      <c r="P43" s="9">
        <v>71.135291609999996</v>
      </c>
    </row>
    <row r="44" spans="1:16" ht="15" customHeight="1" x14ac:dyDescent="0.35">
      <c r="A44" s="3" t="s">
        <v>102</v>
      </c>
      <c r="B44" s="3" t="s">
        <v>117</v>
      </c>
      <c r="C44" s="5">
        <v>31.038</v>
      </c>
      <c r="D44" s="5">
        <v>13.425000000000001</v>
      </c>
      <c r="E44" s="3" t="s">
        <v>66</v>
      </c>
      <c r="F44" s="5">
        <v>18.574999999999999</v>
      </c>
      <c r="G44" s="6">
        <v>3.9</v>
      </c>
      <c r="H44" s="7">
        <v>175</v>
      </c>
      <c r="I44" s="5">
        <v>127.2</v>
      </c>
      <c r="J44" s="5">
        <v>78.8</v>
      </c>
      <c r="K44" s="5">
        <v>208.5</v>
      </c>
      <c r="L44" s="6">
        <v>4.298</v>
      </c>
      <c r="M44" s="5">
        <v>32</v>
      </c>
      <c r="N44" s="6">
        <v>16</v>
      </c>
      <c r="O44" s="8">
        <v>41116</v>
      </c>
      <c r="P44" s="5">
        <v>70.078321540000005</v>
      </c>
    </row>
    <row r="45" spans="1:16" ht="15" customHeight="1" x14ac:dyDescent="0.35">
      <c r="A45" s="4" t="s">
        <v>102</v>
      </c>
      <c r="B45" s="4" t="s">
        <v>119</v>
      </c>
      <c r="C45" s="9">
        <v>111.313</v>
      </c>
      <c r="D45" s="9">
        <v>11.26</v>
      </c>
      <c r="E45" s="4" t="s">
        <v>66</v>
      </c>
      <c r="F45" s="9">
        <v>16.98</v>
      </c>
      <c r="G45" s="10">
        <v>2.5</v>
      </c>
      <c r="H45" s="11">
        <v>120</v>
      </c>
      <c r="I45" s="9">
        <v>131</v>
      </c>
      <c r="J45" s="9">
        <v>71.5</v>
      </c>
      <c r="K45" s="9">
        <v>215</v>
      </c>
      <c r="L45" s="10">
        <v>3.5569999999999999</v>
      </c>
      <c r="M45" s="9">
        <v>22</v>
      </c>
      <c r="N45" s="10">
        <v>19</v>
      </c>
      <c r="O45" s="12">
        <v>40872</v>
      </c>
      <c r="P45" s="9">
        <v>49.64500177</v>
      </c>
    </row>
    <row r="46" spans="1:16" ht="15" customHeight="1" x14ac:dyDescent="0.35">
      <c r="A46" s="3" t="s">
        <v>102</v>
      </c>
      <c r="B46" s="3" t="s">
        <v>121</v>
      </c>
      <c r="C46" s="5">
        <v>101.32299999999999</v>
      </c>
      <c r="D46" s="5"/>
      <c r="E46" s="3" t="s">
        <v>66</v>
      </c>
      <c r="F46" s="5">
        <v>26.31</v>
      </c>
      <c r="G46" s="6">
        <v>5.2</v>
      </c>
      <c r="H46" s="7">
        <v>230</v>
      </c>
      <c r="I46" s="5">
        <v>115.7</v>
      </c>
      <c r="J46" s="5">
        <v>71.7</v>
      </c>
      <c r="K46" s="5">
        <v>193.5</v>
      </c>
      <c r="L46" s="6">
        <v>4.3940000000000001</v>
      </c>
      <c r="M46" s="5">
        <v>25</v>
      </c>
      <c r="N46" s="6">
        <v>17</v>
      </c>
      <c r="O46" s="8">
        <v>41087</v>
      </c>
      <c r="P46" s="5">
        <v>92.85412522</v>
      </c>
    </row>
    <row r="47" spans="1:16" ht="15" customHeight="1" x14ac:dyDescent="0.35">
      <c r="A47" s="4" t="s">
        <v>102</v>
      </c>
      <c r="B47" s="4" t="s">
        <v>123</v>
      </c>
      <c r="C47" s="9">
        <v>181.749</v>
      </c>
      <c r="D47" s="9">
        <v>12.025</v>
      </c>
      <c r="E47" s="4" t="s">
        <v>66</v>
      </c>
      <c r="F47" s="9">
        <v>19.565000000000001</v>
      </c>
      <c r="G47" s="10">
        <v>2.4</v>
      </c>
      <c r="H47" s="11">
        <v>150</v>
      </c>
      <c r="I47" s="9">
        <v>113.3</v>
      </c>
      <c r="J47" s="9">
        <v>76.8</v>
      </c>
      <c r="K47" s="9">
        <v>186.3</v>
      </c>
      <c r="L47" s="10">
        <v>3.5329999999999999</v>
      </c>
      <c r="M47" s="9">
        <v>20</v>
      </c>
      <c r="N47" s="10">
        <v>24</v>
      </c>
      <c r="O47" s="12">
        <v>40787</v>
      </c>
      <c r="P47" s="9">
        <v>61.227000310000001</v>
      </c>
    </row>
    <row r="48" spans="1:16" ht="15" customHeight="1" x14ac:dyDescent="0.35">
      <c r="A48" s="3" t="s">
        <v>125</v>
      </c>
      <c r="B48" s="3" t="s">
        <v>126</v>
      </c>
      <c r="C48" s="5">
        <v>70.227000000000004</v>
      </c>
      <c r="D48" s="5">
        <v>7.4249999999999998</v>
      </c>
      <c r="E48" s="3" t="s">
        <v>25</v>
      </c>
      <c r="F48" s="5">
        <v>12.07</v>
      </c>
      <c r="G48" s="6">
        <v>2</v>
      </c>
      <c r="H48" s="7">
        <v>110</v>
      </c>
      <c r="I48" s="5">
        <v>98.4</v>
      </c>
      <c r="J48" s="5">
        <v>67</v>
      </c>
      <c r="K48" s="5">
        <v>174.7</v>
      </c>
      <c r="L48" s="6">
        <v>2.468</v>
      </c>
      <c r="M48" s="5">
        <v>12.7</v>
      </c>
      <c r="N48" s="6">
        <v>30</v>
      </c>
      <c r="O48" s="8">
        <v>40999</v>
      </c>
      <c r="P48" s="5">
        <v>44.083709460000001</v>
      </c>
    </row>
    <row r="49" spans="1:16" ht="15" customHeight="1" x14ac:dyDescent="0.35">
      <c r="A49" s="4" t="s">
        <v>125</v>
      </c>
      <c r="B49" s="4" t="s">
        <v>128</v>
      </c>
      <c r="C49" s="9">
        <v>113.369</v>
      </c>
      <c r="D49" s="9">
        <v>12.76</v>
      </c>
      <c r="E49" s="4" t="s">
        <v>25</v>
      </c>
      <c r="F49" s="9">
        <v>21.56</v>
      </c>
      <c r="G49" s="10">
        <v>3.8</v>
      </c>
      <c r="H49" s="11">
        <v>190</v>
      </c>
      <c r="I49" s="9">
        <v>101.3</v>
      </c>
      <c r="J49" s="9">
        <v>73.099999999999994</v>
      </c>
      <c r="K49" s="9">
        <v>183.2</v>
      </c>
      <c r="L49" s="10">
        <v>3.2029999999999998</v>
      </c>
      <c r="M49" s="9">
        <v>15.7</v>
      </c>
      <c r="N49" s="10">
        <v>24</v>
      </c>
      <c r="O49" s="12">
        <v>40939</v>
      </c>
      <c r="P49" s="9">
        <v>76.509184559999994</v>
      </c>
    </row>
    <row r="50" spans="1:16" ht="15" customHeight="1" x14ac:dyDescent="0.35">
      <c r="A50" s="3" t="s">
        <v>125</v>
      </c>
      <c r="B50" s="3" t="s">
        <v>130</v>
      </c>
      <c r="C50" s="5">
        <v>35.067999999999998</v>
      </c>
      <c r="D50" s="5">
        <v>8.8350000000000009</v>
      </c>
      <c r="E50" s="3" t="s">
        <v>25</v>
      </c>
      <c r="F50" s="5">
        <v>17.035</v>
      </c>
      <c r="G50" s="6">
        <v>2.5</v>
      </c>
      <c r="H50" s="7">
        <v>170</v>
      </c>
      <c r="I50" s="5">
        <v>106.5</v>
      </c>
      <c r="J50" s="5">
        <v>69.099999999999994</v>
      </c>
      <c r="K50" s="5">
        <v>184.6</v>
      </c>
      <c r="L50" s="6">
        <v>2.7690000000000001</v>
      </c>
      <c r="M50" s="5">
        <v>15</v>
      </c>
      <c r="N50" s="6">
        <v>25</v>
      </c>
      <c r="O50" s="8">
        <v>41141</v>
      </c>
      <c r="P50" s="5">
        <v>67.351010720000005</v>
      </c>
    </row>
    <row r="51" spans="1:16" ht="15" customHeight="1" x14ac:dyDescent="0.35">
      <c r="A51" s="4" t="s">
        <v>125</v>
      </c>
      <c r="B51" s="4" t="s">
        <v>132</v>
      </c>
      <c r="C51" s="9">
        <v>245.815</v>
      </c>
      <c r="D51" s="9">
        <v>10.055</v>
      </c>
      <c r="E51" s="4" t="s">
        <v>25</v>
      </c>
      <c r="F51" s="9">
        <v>17.885000000000002</v>
      </c>
      <c r="G51" s="10">
        <v>3</v>
      </c>
      <c r="H51" s="11">
        <v>155</v>
      </c>
      <c r="I51" s="9">
        <v>108.5</v>
      </c>
      <c r="J51" s="9">
        <v>73</v>
      </c>
      <c r="K51" s="9">
        <v>197.6</v>
      </c>
      <c r="L51" s="10">
        <v>3.3679999999999999</v>
      </c>
      <c r="M51" s="9">
        <v>16</v>
      </c>
      <c r="N51" s="10">
        <v>24</v>
      </c>
      <c r="O51" s="12">
        <v>40897</v>
      </c>
      <c r="P51" s="9">
        <v>62.503739500000002</v>
      </c>
    </row>
    <row r="52" spans="1:16" ht="15" customHeight="1" x14ac:dyDescent="0.35">
      <c r="A52" s="3" t="s">
        <v>125</v>
      </c>
      <c r="B52" s="3" t="s">
        <v>134</v>
      </c>
      <c r="C52" s="5">
        <v>175.67</v>
      </c>
      <c r="D52" s="5"/>
      <c r="E52" s="3" t="s">
        <v>25</v>
      </c>
      <c r="F52" s="5">
        <v>12.315</v>
      </c>
      <c r="G52" s="6">
        <v>2</v>
      </c>
      <c r="H52" s="7">
        <v>107</v>
      </c>
      <c r="I52" s="5">
        <v>103</v>
      </c>
      <c r="J52" s="5">
        <v>66.900000000000006</v>
      </c>
      <c r="K52" s="5">
        <v>174.8</v>
      </c>
      <c r="L52" s="6">
        <v>2.5640000000000001</v>
      </c>
      <c r="M52" s="5">
        <v>13.2</v>
      </c>
      <c r="N52" s="6">
        <v>30</v>
      </c>
      <c r="O52" s="8">
        <v>41112</v>
      </c>
      <c r="P52" s="5">
        <v>43.117132009999999</v>
      </c>
    </row>
    <row r="53" spans="1:16" ht="15" customHeight="1" x14ac:dyDescent="0.35">
      <c r="A53" s="4" t="s">
        <v>125</v>
      </c>
      <c r="B53" s="4" t="s">
        <v>136</v>
      </c>
      <c r="C53" s="9">
        <v>63.402999999999999</v>
      </c>
      <c r="D53" s="9">
        <v>14.21</v>
      </c>
      <c r="E53" s="4" t="s">
        <v>25</v>
      </c>
      <c r="F53" s="9">
        <v>22.195</v>
      </c>
      <c r="G53" s="10">
        <v>4.5999999999999996</v>
      </c>
      <c r="H53" s="11">
        <v>200</v>
      </c>
      <c r="I53" s="9">
        <v>114.7</v>
      </c>
      <c r="J53" s="9">
        <v>78.2</v>
      </c>
      <c r="K53" s="9">
        <v>212</v>
      </c>
      <c r="L53" s="10">
        <v>3.9079999999999999</v>
      </c>
      <c r="M53" s="9">
        <v>19</v>
      </c>
      <c r="N53" s="10">
        <v>21</v>
      </c>
      <c r="O53" s="12">
        <v>40812</v>
      </c>
      <c r="P53" s="9">
        <v>80.499536710000001</v>
      </c>
    </row>
    <row r="54" spans="1:16" ht="15" customHeight="1" x14ac:dyDescent="0.35">
      <c r="A54" s="3" t="s">
        <v>125</v>
      </c>
      <c r="B54" s="3" t="s">
        <v>138</v>
      </c>
      <c r="C54" s="5">
        <v>276.74700000000001</v>
      </c>
      <c r="D54" s="5">
        <v>16.64</v>
      </c>
      <c r="E54" s="3" t="s">
        <v>66</v>
      </c>
      <c r="F54" s="5">
        <v>31.93</v>
      </c>
      <c r="G54" s="6">
        <v>4</v>
      </c>
      <c r="H54" s="7">
        <v>210</v>
      </c>
      <c r="I54" s="5">
        <v>111.6</v>
      </c>
      <c r="J54" s="5">
        <v>70.2</v>
      </c>
      <c r="K54" s="5">
        <v>190.7</v>
      </c>
      <c r="L54" s="6">
        <v>3.8759999999999999</v>
      </c>
      <c r="M54" s="5">
        <v>21</v>
      </c>
      <c r="N54" s="6">
        <v>19</v>
      </c>
      <c r="O54" s="8">
        <v>41024</v>
      </c>
      <c r="P54" s="5">
        <v>87.635495779999999</v>
      </c>
    </row>
    <row r="55" spans="1:16" ht="15" customHeight="1" x14ac:dyDescent="0.35">
      <c r="A55" s="4" t="s">
        <v>125</v>
      </c>
      <c r="B55" s="4" t="s">
        <v>140</v>
      </c>
      <c r="C55" s="9">
        <v>155.78700000000001</v>
      </c>
      <c r="D55" s="9">
        <v>13.175000000000001</v>
      </c>
      <c r="E55" s="4" t="s">
        <v>66</v>
      </c>
      <c r="F55" s="9">
        <v>21.41</v>
      </c>
      <c r="G55" s="10">
        <v>3</v>
      </c>
      <c r="H55" s="11">
        <v>150</v>
      </c>
      <c r="I55" s="9">
        <v>120.7</v>
      </c>
      <c r="J55" s="9">
        <v>76.599999999999994</v>
      </c>
      <c r="K55" s="9">
        <v>200.9</v>
      </c>
      <c r="L55" s="10">
        <v>3.7610000000000001</v>
      </c>
      <c r="M55" s="9">
        <v>26</v>
      </c>
      <c r="N55" s="10">
        <v>21</v>
      </c>
      <c r="O55" s="12">
        <v>40964</v>
      </c>
      <c r="P55" s="9">
        <v>62.095048390000002</v>
      </c>
    </row>
    <row r="56" spans="1:16" ht="15" customHeight="1" x14ac:dyDescent="0.35">
      <c r="A56" s="3" t="s">
        <v>125</v>
      </c>
      <c r="B56" s="3" t="s">
        <v>142</v>
      </c>
      <c r="C56" s="5">
        <v>125.33799999999999</v>
      </c>
      <c r="D56" s="5">
        <v>23.574999999999999</v>
      </c>
      <c r="E56" s="3" t="s">
        <v>66</v>
      </c>
      <c r="F56" s="5">
        <v>36.134999999999998</v>
      </c>
      <c r="G56" s="6">
        <v>4.5999999999999996</v>
      </c>
      <c r="H56" s="7">
        <v>240</v>
      </c>
      <c r="I56" s="5">
        <v>119</v>
      </c>
      <c r="J56" s="5">
        <v>78.7</v>
      </c>
      <c r="K56" s="5">
        <v>204.6</v>
      </c>
      <c r="L56" s="6">
        <v>4.8079999999999998</v>
      </c>
      <c r="M56" s="5">
        <v>26</v>
      </c>
      <c r="N56" s="6">
        <v>16</v>
      </c>
      <c r="O56" s="8">
        <v>41166</v>
      </c>
      <c r="P56" s="5">
        <v>100.0248023</v>
      </c>
    </row>
    <row r="57" spans="1:16" ht="15" customHeight="1" x14ac:dyDescent="0.35">
      <c r="A57" s="4" t="s">
        <v>125</v>
      </c>
      <c r="B57" s="4" t="s">
        <v>144</v>
      </c>
      <c r="C57" s="9">
        <v>220.65</v>
      </c>
      <c r="D57" s="9">
        <v>7.85</v>
      </c>
      <c r="E57" s="4" t="s">
        <v>66</v>
      </c>
      <c r="F57" s="9">
        <v>12.05</v>
      </c>
      <c r="G57" s="10">
        <v>2.5</v>
      </c>
      <c r="H57" s="11">
        <v>119</v>
      </c>
      <c r="I57" s="9">
        <v>117.5</v>
      </c>
      <c r="J57" s="9">
        <v>69.400000000000006</v>
      </c>
      <c r="K57" s="9">
        <v>200.7</v>
      </c>
      <c r="L57" s="10">
        <v>3.0859999999999999</v>
      </c>
      <c r="M57" s="9">
        <v>20</v>
      </c>
      <c r="N57" s="10">
        <v>23</v>
      </c>
      <c r="O57" s="12">
        <v>40922</v>
      </c>
      <c r="P57" s="9">
        <v>47.389531310000002</v>
      </c>
    </row>
    <row r="58" spans="1:16" ht="15" customHeight="1" x14ac:dyDescent="0.35">
      <c r="A58" s="3" t="s">
        <v>125</v>
      </c>
      <c r="B58" s="3" t="s">
        <v>146</v>
      </c>
      <c r="C58" s="5">
        <v>540.56100000000004</v>
      </c>
      <c r="D58" s="5">
        <v>15.074999999999999</v>
      </c>
      <c r="E58" s="3" t="s">
        <v>66</v>
      </c>
      <c r="F58" s="5">
        <v>26.934999999999999</v>
      </c>
      <c r="G58" s="6">
        <v>4.5999999999999996</v>
      </c>
      <c r="H58" s="7">
        <v>220</v>
      </c>
      <c r="I58" s="5">
        <v>138.5</v>
      </c>
      <c r="J58" s="5">
        <v>79.099999999999994</v>
      </c>
      <c r="K58" s="5">
        <v>224.5</v>
      </c>
      <c r="L58" s="6">
        <v>4.2409999999999997</v>
      </c>
      <c r="M58" s="5">
        <v>25.1</v>
      </c>
      <c r="N58" s="6">
        <v>18</v>
      </c>
      <c r="O58" s="8">
        <v>41137</v>
      </c>
      <c r="P58" s="5">
        <v>89.401934729999994</v>
      </c>
    </row>
    <row r="59" spans="1:16" ht="15" customHeight="1" x14ac:dyDescent="0.35">
      <c r="A59" s="4" t="s">
        <v>148</v>
      </c>
      <c r="B59" s="4" t="s">
        <v>149</v>
      </c>
      <c r="C59" s="9">
        <v>199.685</v>
      </c>
      <c r="D59" s="9">
        <v>9.85</v>
      </c>
      <c r="E59" s="4" t="s">
        <v>25</v>
      </c>
      <c r="F59" s="9">
        <v>12.885</v>
      </c>
      <c r="G59" s="10">
        <v>1.6</v>
      </c>
      <c r="H59" s="11">
        <v>106</v>
      </c>
      <c r="I59" s="9">
        <v>103.2</v>
      </c>
      <c r="J59" s="9">
        <v>67.099999999999994</v>
      </c>
      <c r="K59" s="9">
        <v>175.1</v>
      </c>
      <c r="L59" s="10">
        <v>2.339</v>
      </c>
      <c r="M59" s="9">
        <v>11.9</v>
      </c>
      <c r="N59" s="10">
        <v>32</v>
      </c>
      <c r="O59" s="12">
        <v>40837</v>
      </c>
      <c r="P59" s="9">
        <v>42.879097340000001</v>
      </c>
    </row>
    <row r="60" spans="1:16" ht="15" customHeight="1" x14ac:dyDescent="0.35">
      <c r="A60" s="3" t="s">
        <v>148</v>
      </c>
      <c r="B60" s="3" t="s">
        <v>151</v>
      </c>
      <c r="C60" s="5">
        <v>230.90199999999999</v>
      </c>
      <c r="D60" s="5">
        <v>13.21</v>
      </c>
      <c r="E60" s="3" t="s">
        <v>25</v>
      </c>
      <c r="F60" s="5">
        <v>15.35</v>
      </c>
      <c r="G60" s="6">
        <v>2.2999999999999998</v>
      </c>
      <c r="H60" s="7">
        <v>135</v>
      </c>
      <c r="I60" s="5">
        <v>106.9</v>
      </c>
      <c r="J60" s="5">
        <v>70.3</v>
      </c>
      <c r="K60" s="5">
        <v>188.8</v>
      </c>
      <c r="L60" s="6">
        <v>2.9319999999999999</v>
      </c>
      <c r="M60" s="5">
        <v>17.100000000000001</v>
      </c>
      <c r="N60" s="6">
        <v>27</v>
      </c>
      <c r="O60" s="8">
        <v>41049</v>
      </c>
      <c r="P60" s="5">
        <v>54.269548290000003</v>
      </c>
    </row>
    <row r="61" spans="1:16" ht="15" customHeight="1" x14ac:dyDescent="0.35">
      <c r="A61" s="4" t="s">
        <v>148</v>
      </c>
      <c r="B61" s="4" t="s">
        <v>153</v>
      </c>
      <c r="C61" s="9">
        <v>73.203000000000003</v>
      </c>
      <c r="D61" s="9">
        <v>17.71</v>
      </c>
      <c r="E61" s="4" t="s">
        <v>66</v>
      </c>
      <c r="F61" s="9">
        <v>20.55</v>
      </c>
      <c r="G61" s="10">
        <v>2</v>
      </c>
      <c r="H61" s="11">
        <v>146</v>
      </c>
      <c r="I61" s="9">
        <v>103.2</v>
      </c>
      <c r="J61" s="9">
        <v>68.900000000000006</v>
      </c>
      <c r="K61" s="9">
        <v>177.6</v>
      </c>
      <c r="L61" s="10">
        <v>3.2189999999999999</v>
      </c>
      <c r="M61" s="9">
        <v>15.3</v>
      </c>
      <c r="N61" s="10">
        <v>24</v>
      </c>
      <c r="O61" s="12">
        <v>40989</v>
      </c>
      <c r="P61" s="9">
        <v>60.087966620000003</v>
      </c>
    </row>
    <row r="62" spans="1:16" ht="15" customHeight="1" x14ac:dyDescent="0.35">
      <c r="A62" s="3" t="s">
        <v>148</v>
      </c>
      <c r="B62" s="3" t="s">
        <v>155</v>
      </c>
      <c r="C62" s="5">
        <v>12.855</v>
      </c>
      <c r="D62" s="5">
        <v>17.524999999999999</v>
      </c>
      <c r="E62" s="3" t="s">
        <v>66</v>
      </c>
      <c r="F62" s="5">
        <v>26.6</v>
      </c>
      <c r="G62" s="6">
        <v>3.2</v>
      </c>
      <c r="H62" s="7">
        <v>205</v>
      </c>
      <c r="I62" s="5">
        <v>106.4</v>
      </c>
      <c r="J62" s="5">
        <v>70.400000000000006</v>
      </c>
      <c r="K62" s="5">
        <v>178.2</v>
      </c>
      <c r="L62" s="6">
        <v>3.8570000000000002</v>
      </c>
      <c r="M62" s="5">
        <v>21.1</v>
      </c>
      <c r="N62" s="6">
        <v>19</v>
      </c>
      <c r="O62" s="8">
        <v>41191</v>
      </c>
      <c r="P62" s="5">
        <v>83.602500800000001</v>
      </c>
    </row>
    <row r="63" spans="1:16" ht="15" customHeight="1" x14ac:dyDescent="0.35">
      <c r="A63" s="4" t="s">
        <v>148</v>
      </c>
      <c r="B63" s="4" t="s">
        <v>157</v>
      </c>
      <c r="C63" s="9">
        <v>76.028999999999996</v>
      </c>
      <c r="D63" s="9">
        <v>19.489999999999998</v>
      </c>
      <c r="E63" s="4" t="s">
        <v>66</v>
      </c>
      <c r="F63" s="9">
        <v>26</v>
      </c>
      <c r="G63" s="10">
        <v>3.5</v>
      </c>
      <c r="H63" s="11">
        <v>210</v>
      </c>
      <c r="I63" s="9">
        <v>118.1</v>
      </c>
      <c r="J63" s="9">
        <v>75.599999999999994</v>
      </c>
      <c r="K63" s="9">
        <v>201.2</v>
      </c>
      <c r="L63" s="10">
        <v>4.2880000000000003</v>
      </c>
      <c r="M63" s="9">
        <v>20</v>
      </c>
      <c r="N63" s="10">
        <v>23</v>
      </c>
      <c r="O63" s="12">
        <v>40947</v>
      </c>
      <c r="P63" s="9">
        <v>85.217691340000002</v>
      </c>
    </row>
    <row r="64" spans="1:16" ht="15" customHeight="1" x14ac:dyDescent="0.35">
      <c r="A64" s="3" t="s">
        <v>159</v>
      </c>
      <c r="B64" s="3" t="s">
        <v>160</v>
      </c>
      <c r="C64" s="5">
        <v>41.183999999999997</v>
      </c>
      <c r="D64" s="5">
        <v>5.86</v>
      </c>
      <c r="E64" s="3" t="s">
        <v>25</v>
      </c>
      <c r="F64" s="5">
        <v>9.6989999999999998</v>
      </c>
      <c r="G64" s="6">
        <v>1.5</v>
      </c>
      <c r="H64" s="7">
        <v>92</v>
      </c>
      <c r="I64" s="5">
        <v>96.1</v>
      </c>
      <c r="J64" s="5">
        <v>65.7</v>
      </c>
      <c r="K64" s="5">
        <v>166.7</v>
      </c>
      <c r="L64" s="6">
        <v>2.2400000000000002</v>
      </c>
      <c r="M64" s="5">
        <v>11.9</v>
      </c>
      <c r="N64" s="6">
        <v>31</v>
      </c>
      <c r="O64" s="8">
        <v>41162</v>
      </c>
      <c r="P64" s="5">
        <v>36.672283579999998</v>
      </c>
    </row>
    <row r="65" spans="1:16" ht="15" customHeight="1" x14ac:dyDescent="0.35">
      <c r="A65" s="4" t="s">
        <v>159</v>
      </c>
      <c r="B65" s="4" t="s">
        <v>162</v>
      </c>
      <c r="C65" s="9">
        <v>66.691999999999993</v>
      </c>
      <c r="D65" s="9">
        <v>7.8250000000000002</v>
      </c>
      <c r="E65" s="4" t="s">
        <v>25</v>
      </c>
      <c r="F65" s="9">
        <v>11.798999999999999</v>
      </c>
      <c r="G65" s="10">
        <v>2</v>
      </c>
      <c r="H65" s="11">
        <v>140</v>
      </c>
      <c r="I65" s="9">
        <v>100.4</v>
      </c>
      <c r="J65" s="9">
        <v>66.900000000000006</v>
      </c>
      <c r="K65" s="9">
        <v>174</v>
      </c>
      <c r="L65" s="10">
        <v>2.6259999999999999</v>
      </c>
      <c r="M65" s="9">
        <v>14.5</v>
      </c>
      <c r="N65" s="10">
        <v>27</v>
      </c>
      <c r="O65" s="12">
        <v>40862</v>
      </c>
      <c r="P65" s="9">
        <v>54.590045160000003</v>
      </c>
    </row>
    <row r="66" spans="1:16" ht="15" customHeight="1" x14ac:dyDescent="0.35">
      <c r="A66" s="3" t="s">
        <v>159</v>
      </c>
      <c r="B66" s="3" t="s">
        <v>164</v>
      </c>
      <c r="C66" s="5">
        <v>29.45</v>
      </c>
      <c r="D66" s="5">
        <v>8.91</v>
      </c>
      <c r="E66" s="3" t="s">
        <v>25</v>
      </c>
      <c r="F66" s="5">
        <v>14.999000000000001</v>
      </c>
      <c r="G66" s="6">
        <v>2.4</v>
      </c>
      <c r="H66" s="7">
        <v>148</v>
      </c>
      <c r="I66" s="5">
        <v>106.3</v>
      </c>
      <c r="J66" s="5">
        <v>71.599999999999994</v>
      </c>
      <c r="K66" s="5">
        <v>185.4</v>
      </c>
      <c r="L66" s="6">
        <v>3.0720000000000001</v>
      </c>
      <c r="M66" s="5">
        <v>17.2</v>
      </c>
      <c r="N66" s="6">
        <v>25</v>
      </c>
      <c r="O66" s="8">
        <v>41074</v>
      </c>
      <c r="P66" s="5">
        <v>58.758248999999999</v>
      </c>
    </row>
    <row r="67" spans="1:16" ht="15" customHeight="1" x14ac:dyDescent="0.35">
      <c r="A67" s="4" t="s">
        <v>166</v>
      </c>
      <c r="B67" s="4" t="s">
        <v>167</v>
      </c>
      <c r="C67" s="9">
        <v>23.713000000000001</v>
      </c>
      <c r="D67" s="9">
        <v>19.690000000000001</v>
      </c>
      <c r="E67" s="4" t="s">
        <v>25</v>
      </c>
      <c r="F67" s="9">
        <v>29.465</v>
      </c>
      <c r="G67" s="10">
        <v>3</v>
      </c>
      <c r="H67" s="11">
        <v>227</v>
      </c>
      <c r="I67" s="9">
        <v>108.3</v>
      </c>
      <c r="J67" s="9">
        <v>70.2</v>
      </c>
      <c r="K67" s="9">
        <v>193.7</v>
      </c>
      <c r="L67" s="10">
        <v>3.3420000000000001</v>
      </c>
      <c r="M67" s="9">
        <v>18.5</v>
      </c>
      <c r="N67" s="10">
        <v>25</v>
      </c>
      <c r="O67" s="12">
        <v>41014</v>
      </c>
      <c r="P67" s="9">
        <v>92.436889230000006</v>
      </c>
    </row>
    <row r="68" spans="1:16" ht="15" customHeight="1" x14ac:dyDescent="0.35">
      <c r="A68" s="3" t="s">
        <v>169</v>
      </c>
      <c r="B68" s="3" t="s">
        <v>170</v>
      </c>
      <c r="C68" s="5">
        <v>15.467000000000001</v>
      </c>
      <c r="D68" s="5"/>
      <c r="E68" s="3" t="s">
        <v>25</v>
      </c>
      <c r="F68" s="5">
        <v>42.8</v>
      </c>
      <c r="G68" s="6">
        <v>3</v>
      </c>
      <c r="H68" s="7">
        <v>240</v>
      </c>
      <c r="I68" s="5">
        <v>114.5</v>
      </c>
      <c r="J68" s="5">
        <v>71.599999999999994</v>
      </c>
      <c r="K68" s="5">
        <v>191.3</v>
      </c>
      <c r="L68" s="6">
        <v>3.65</v>
      </c>
      <c r="M68" s="5">
        <v>18.399999999999999</v>
      </c>
      <c r="N68" s="6">
        <v>21</v>
      </c>
      <c r="O68" s="8">
        <v>41216</v>
      </c>
      <c r="P68" s="5">
        <v>102.17898479999999</v>
      </c>
    </row>
    <row r="69" spans="1:16" ht="15" customHeight="1" x14ac:dyDescent="0.35">
      <c r="A69" s="4" t="s">
        <v>172</v>
      </c>
      <c r="B69" s="4" t="s">
        <v>173</v>
      </c>
      <c r="C69" s="9">
        <v>55.557000000000002</v>
      </c>
      <c r="D69" s="9">
        <v>13.475</v>
      </c>
      <c r="E69" s="4" t="s">
        <v>66</v>
      </c>
      <c r="F69" s="9">
        <v>14.46</v>
      </c>
      <c r="G69" s="10">
        <v>2.5</v>
      </c>
      <c r="H69" s="11">
        <v>120</v>
      </c>
      <c r="I69" s="9">
        <v>93.4</v>
      </c>
      <c r="J69" s="9">
        <v>66.7</v>
      </c>
      <c r="K69" s="9">
        <v>152</v>
      </c>
      <c r="L69" s="10">
        <v>3.0449999999999999</v>
      </c>
      <c r="M69" s="9">
        <v>19</v>
      </c>
      <c r="N69" s="10">
        <v>17</v>
      </c>
      <c r="O69" s="12">
        <v>40972</v>
      </c>
      <c r="P69" s="9">
        <v>48.672897910000003</v>
      </c>
    </row>
    <row r="70" spans="1:16" ht="15" customHeight="1" x14ac:dyDescent="0.35">
      <c r="A70" s="3" t="s">
        <v>172</v>
      </c>
      <c r="B70" s="3" t="s">
        <v>175</v>
      </c>
      <c r="C70" s="5">
        <v>80.555999999999997</v>
      </c>
      <c r="D70" s="5">
        <v>13.775</v>
      </c>
      <c r="E70" s="3" t="s">
        <v>66</v>
      </c>
      <c r="F70" s="5">
        <v>21.62</v>
      </c>
      <c r="G70" s="6">
        <v>4</v>
      </c>
      <c r="H70" s="7">
        <v>190</v>
      </c>
      <c r="I70" s="5">
        <v>101.4</v>
      </c>
      <c r="J70" s="5">
        <v>69.400000000000006</v>
      </c>
      <c r="K70" s="5">
        <v>167.5</v>
      </c>
      <c r="L70" s="6">
        <v>3.194</v>
      </c>
      <c r="M70" s="5">
        <v>20</v>
      </c>
      <c r="N70" s="6">
        <v>20</v>
      </c>
      <c r="O70" s="8">
        <v>41187</v>
      </c>
      <c r="P70" s="5">
        <v>76.584439619999998</v>
      </c>
    </row>
    <row r="71" spans="1:16" ht="15" customHeight="1" x14ac:dyDescent="0.35">
      <c r="A71" s="4" t="s">
        <v>172</v>
      </c>
      <c r="B71" s="4" t="s">
        <v>177</v>
      </c>
      <c r="C71" s="9">
        <v>157.04</v>
      </c>
      <c r="D71" s="9">
        <v>18.809999999999999</v>
      </c>
      <c r="E71" s="4" t="s">
        <v>66</v>
      </c>
      <c r="F71" s="9">
        <v>26.895</v>
      </c>
      <c r="G71" s="10">
        <v>4</v>
      </c>
      <c r="H71" s="11">
        <v>195</v>
      </c>
      <c r="I71" s="9">
        <v>105.9</v>
      </c>
      <c r="J71" s="9">
        <v>72.3</v>
      </c>
      <c r="K71" s="9">
        <v>181.5</v>
      </c>
      <c r="L71" s="10">
        <v>3.88</v>
      </c>
      <c r="M71" s="9">
        <v>20.5</v>
      </c>
      <c r="N71" s="10">
        <v>19</v>
      </c>
      <c r="O71" s="12">
        <v>40887</v>
      </c>
      <c r="P71" s="9">
        <v>80.387779120000005</v>
      </c>
    </row>
    <row r="72" spans="1:16" ht="15" customHeight="1" x14ac:dyDescent="0.35">
      <c r="A72" s="3" t="s">
        <v>179</v>
      </c>
      <c r="B72" s="3" t="s">
        <v>180</v>
      </c>
      <c r="C72" s="5">
        <v>24.071999999999999</v>
      </c>
      <c r="D72" s="5">
        <v>26.975000000000001</v>
      </c>
      <c r="E72" s="3" t="s">
        <v>25</v>
      </c>
      <c r="F72" s="5">
        <v>31.504999999999999</v>
      </c>
      <c r="G72" s="6">
        <v>3</v>
      </c>
      <c r="H72" s="7">
        <v>210</v>
      </c>
      <c r="I72" s="5">
        <v>105.1</v>
      </c>
      <c r="J72" s="5">
        <v>70.5</v>
      </c>
      <c r="K72" s="5">
        <v>190.2</v>
      </c>
      <c r="L72" s="6">
        <v>3.3730000000000002</v>
      </c>
      <c r="M72" s="5">
        <v>18.5</v>
      </c>
      <c r="N72" s="6">
        <v>23</v>
      </c>
      <c r="O72" s="8">
        <v>41099</v>
      </c>
      <c r="P72" s="5">
        <v>87.211001039999999</v>
      </c>
    </row>
    <row r="73" spans="1:16" ht="15" customHeight="1" x14ac:dyDescent="0.35">
      <c r="A73" s="4" t="s">
        <v>179</v>
      </c>
      <c r="B73" s="4" t="s">
        <v>182</v>
      </c>
      <c r="C73" s="9">
        <v>12.698</v>
      </c>
      <c r="D73" s="9">
        <v>32.075000000000003</v>
      </c>
      <c r="E73" s="4" t="s">
        <v>25</v>
      </c>
      <c r="F73" s="9">
        <v>37.805</v>
      </c>
      <c r="G73" s="10">
        <v>3</v>
      </c>
      <c r="H73" s="11">
        <v>225</v>
      </c>
      <c r="I73" s="9">
        <v>110.2</v>
      </c>
      <c r="J73" s="9">
        <v>70.900000000000006</v>
      </c>
      <c r="K73" s="9">
        <v>189.2</v>
      </c>
      <c r="L73" s="10">
        <v>3.6379999999999999</v>
      </c>
      <c r="M73" s="9">
        <v>19.8</v>
      </c>
      <c r="N73" s="10">
        <v>23</v>
      </c>
      <c r="O73" s="12">
        <v>41039</v>
      </c>
      <c r="P73" s="9">
        <v>94.946698400000002</v>
      </c>
    </row>
    <row r="74" spans="1:16" ht="15" customHeight="1" x14ac:dyDescent="0.35">
      <c r="A74" s="3" t="s">
        <v>179</v>
      </c>
      <c r="B74" s="3" t="s">
        <v>184</v>
      </c>
      <c r="C74" s="5">
        <v>3.3340000000000001</v>
      </c>
      <c r="D74" s="5"/>
      <c r="E74" s="3" t="s">
        <v>25</v>
      </c>
      <c r="F74" s="5">
        <v>46.305</v>
      </c>
      <c r="G74" s="6">
        <v>4</v>
      </c>
      <c r="H74" s="7">
        <v>300</v>
      </c>
      <c r="I74" s="5">
        <v>110.2</v>
      </c>
      <c r="J74" s="5">
        <v>70.900000000000006</v>
      </c>
      <c r="K74" s="5">
        <v>189.2</v>
      </c>
      <c r="L74" s="6">
        <v>3.6930000000000001</v>
      </c>
      <c r="M74" s="5">
        <v>19.8</v>
      </c>
      <c r="N74" s="6">
        <v>21</v>
      </c>
      <c r="O74" s="8">
        <v>41241</v>
      </c>
      <c r="P74" s="5">
        <v>125.0133574</v>
      </c>
    </row>
    <row r="75" spans="1:16" ht="15" customHeight="1" x14ac:dyDescent="0.35">
      <c r="A75" s="4" t="s">
        <v>179</v>
      </c>
      <c r="B75" s="4" t="s">
        <v>186</v>
      </c>
      <c r="C75" s="9">
        <v>6.375</v>
      </c>
      <c r="D75" s="9">
        <v>40.375</v>
      </c>
      <c r="E75" s="4" t="s">
        <v>25</v>
      </c>
      <c r="F75" s="9">
        <v>54.005000000000003</v>
      </c>
      <c r="G75" s="10">
        <v>4</v>
      </c>
      <c r="H75" s="11">
        <v>290</v>
      </c>
      <c r="I75" s="9">
        <v>112.2</v>
      </c>
      <c r="J75" s="9">
        <v>72</v>
      </c>
      <c r="K75" s="9">
        <v>196.7</v>
      </c>
      <c r="L75" s="10">
        <v>3.89</v>
      </c>
      <c r="M75" s="9">
        <v>22.5</v>
      </c>
      <c r="N75" s="10">
        <v>22</v>
      </c>
      <c r="O75" s="12">
        <v>40997</v>
      </c>
      <c r="P75" s="9">
        <v>124.44671630000001</v>
      </c>
    </row>
    <row r="76" spans="1:16" ht="15" customHeight="1" x14ac:dyDescent="0.35">
      <c r="A76" s="3" t="s">
        <v>179</v>
      </c>
      <c r="B76" s="3" t="s">
        <v>188</v>
      </c>
      <c r="C76" s="5">
        <v>9.1259999999999994</v>
      </c>
      <c r="D76" s="5"/>
      <c r="E76" s="3" t="s">
        <v>66</v>
      </c>
      <c r="F76" s="5">
        <v>60.104999999999997</v>
      </c>
      <c r="G76" s="6">
        <v>4.7</v>
      </c>
      <c r="H76" s="7">
        <v>230</v>
      </c>
      <c r="I76" s="5">
        <v>112.2</v>
      </c>
      <c r="J76" s="5">
        <v>76.400000000000006</v>
      </c>
      <c r="K76" s="5">
        <v>192.5</v>
      </c>
      <c r="L76" s="6">
        <v>5.4009999999999998</v>
      </c>
      <c r="M76" s="5">
        <v>25.4</v>
      </c>
      <c r="N76" s="6">
        <v>15</v>
      </c>
      <c r="O76" s="8">
        <v>41212</v>
      </c>
      <c r="P76" s="5">
        <v>105.760458</v>
      </c>
    </row>
    <row r="77" spans="1:16" ht="15" customHeight="1" x14ac:dyDescent="0.35">
      <c r="A77" s="4" t="s">
        <v>179</v>
      </c>
      <c r="B77" s="4" t="s">
        <v>190</v>
      </c>
      <c r="C77" s="9">
        <v>51.238</v>
      </c>
      <c r="D77" s="9"/>
      <c r="E77" s="4" t="s">
        <v>66</v>
      </c>
      <c r="F77" s="9">
        <v>34.604999999999997</v>
      </c>
      <c r="G77" s="10">
        <v>3</v>
      </c>
      <c r="H77" s="11">
        <v>220</v>
      </c>
      <c r="I77" s="9">
        <v>103</v>
      </c>
      <c r="J77" s="9">
        <v>71.5</v>
      </c>
      <c r="K77" s="9">
        <v>180.1</v>
      </c>
      <c r="L77" s="10">
        <v>3.9</v>
      </c>
      <c r="M77" s="9">
        <v>17.2</v>
      </c>
      <c r="N77" s="10">
        <v>21</v>
      </c>
      <c r="O77" s="12">
        <v>40912</v>
      </c>
      <c r="P77" s="9">
        <v>91.943801559999997</v>
      </c>
    </row>
    <row r="78" spans="1:16" ht="15" customHeight="1" x14ac:dyDescent="0.35">
      <c r="A78" s="3" t="s">
        <v>191</v>
      </c>
      <c r="B78" s="3" t="s">
        <v>192</v>
      </c>
      <c r="C78" s="5">
        <v>13.798</v>
      </c>
      <c r="D78" s="5">
        <v>20.524999999999999</v>
      </c>
      <c r="E78" s="3" t="s">
        <v>25</v>
      </c>
      <c r="F78" s="5">
        <v>39.08</v>
      </c>
      <c r="G78" s="6">
        <v>4.5999999999999996</v>
      </c>
      <c r="H78" s="7">
        <v>275</v>
      </c>
      <c r="I78" s="5">
        <v>109</v>
      </c>
      <c r="J78" s="5">
        <v>73.599999999999994</v>
      </c>
      <c r="K78" s="5">
        <v>208.5</v>
      </c>
      <c r="L78" s="6">
        <v>3.8679999999999999</v>
      </c>
      <c r="M78" s="5">
        <v>20</v>
      </c>
      <c r="N78" s="6">
        <v>22</v>
      </c>
      <c r="O78" s="8">
        <v>41124</v>
      </c>
      <c r="P78" s="5">
        <v>113.5402069</v>
      </c>
    </row>
    <row r="79" spans="1:16" ht="15" customHeight="1" x14ac:dyDescent="0.35">
      <c r="A79" s="4" t="s">
        <v>191</v>
      </c>
      <c r="B79" s="4" t="s">
        <v>194</v>
      </c>
      <c r="C79" s="9">
        <v>48.911000000000001</v>
      </c>
      <c r="D79" s="9">
        <v>21.725000000000001</v>
      </c>
      <c r="E79" s="4" t="s">
        <v>25</v>
      </c>
      <c r="F79" s="9">
        <v>43.33</v>
      </c>
      <c r="G79" s="10">
        <v>4.5999999999999996</v>
      </c>
      <c r="H79" s="11">
        <v>215</v>
      </c>
      <c r="I79" s="9">
        <v>117.7</v>
      </c>
      <c r="J79" s="9">
        <v>78.2</v>
      </c>
      <c r="K79" s="9">
        <v>215.3</v>
      </c>
      <c r="L79" s="10">
        <v>4.1210000000000004</v>
      </c>
      <c r="M79" s="9">
        <v>19</v>
      </c>
      <c r="N79" s="10">
        <v>21</v>
      </c>
      <c r="O79" s="12">
        <v>41064</v>
      </c>
      <c r="P79" s="9">
        <v>93.957916900000001</v>
      </c>
    </row>
    <row r="80" spans="1:16" ht="15" customHeight="1" x14ac:dyDescent="0.35">
      <c r="A80" s="3" t="s">
        <v>191</v>
      </c>
      <c r="B80" s="3" t="s">
        <v>196</v>
      </c>
      <c r="C80" s="5">
        <v>22.925000000000001</v>
      </c>
      <c r="D80" s="5"/>
      <c r="E80" s="3" t="s">
        <v>66</v>
      </c>
      <c r="F80" s="5">
        <v>42.66</v>
      </c>
      <c r="G80" s="6">
        <v>5.4</v>
      </c>
      <c r="H80" s="7">
        <v>300</v>
      </c>
      <c r="I80" s="5">
        <v>119</v>
      </c>
      <c r="J80" s="5">
        <v>79.900000000000006</v>
      </c>
      <c r="K80" s="5">
        <v>204.8</v>
      </c>
      <c r="L80" s="6">
        <v>5.3929999999999998</v>
      </c>
      <c r="M80" s="5">
        <v>30</v>
      </c>
      <c r="N80" s="6">
        <v>15</v>
      </c>
      <c r="O80" s="8">
        <v>41266</v>
      </c>
      <c r="P80" s="5">
        <v>123.97204670000001</v>
      </c>
    </row>
    <row r="81" spans="1:16" ht="15" customHeight="1" x14ac:dyDescent="0.35">
      <c r="A81" s="4" t="s">
        <v>198</v>
      </c>
      <c r="B81" s="4" t="s">
        <v>199</v>
      </c>
      <c r="C81" s="9">
        <v>26.231999999999999</v>
      </c>
      <c r="D81" s="9">
        <v>8.3249999999999993</v>
      </c>
      <c r="E81" s="4" t="s">
        <v>25</v>
      </c>
      <c r="F81" s="9">
        <v>13.987</v>
      </c>
      <c r="G81" s="10">
        <v>1.8</v>
      </c>
      <c r="H81" s="11">
        <v>113</v>
      </c>
      <c r="I81" s="9">
        <v>98.4</v>
      </c>
      <c r="J81" s="9">
        <v>66.5</v>
      </c>
      <c r="K81" s="9">
        <v>173.6</v>
      </c>
      <c r="L81" s="10">
        <v>2.25</v>
      </c>
      <c r="M81" s="9">
        <v>13.2</v>
      </c>
      <c r="N81" s="10">
        <v>30</v>
      </c>
      <c r="O81" s="12">
        <v>41022</v>
      </c>
      <c r="P81" s="9">
        <v>45.832180559999998</v>
      </c>
    </row>
    <row r="82" spans="1:16" ht="15" customHeight="1" x14ac:dyDescent="0.35">
      <c r="A82" s="3" t="s">
        <v>198</v>
      </c>
      <c r="B82" s="3" t="s">
        <v>201</v>
      </c>
      <c r="C82" s="5">
        <v>42.540999999999997</v>
      </c>
      <c r="D82" s="5">
        <v>10.395</v>
      </c>
      <c r="E82" s="3" t="s">
        <v>25</v>
      </c>
      <c r="F82" s="5">
        <v>19.047000000000001</v>
      </c>
      <c r="G82" s="6">
        <v>2.4</v>
      </c>
      <c r="H82" s="7">
        <v>154</v>
      </c>
      <c r="I82" s="5">
        <v>100.8</v>
      </c>
      <c r="J82" s="5">
        <v>68.900000000000006</v>
      </c>
      <c r="K82" s="5">
        <v>175.4</v>
      </c>
      <c r="L82" s="6">
        <v>2.91</v>
      </c>
      <c r="M82" s="5">
        <v>15.9</v>
      </c>
      <c r="N82" s="6">
        <v>24</v>
      </c>
      <c r="O82" s="8">
        <v>41237</v>
      </c>
      <c r="P82" s="5">
        <v>62.441962349999997</v>
      </c>
    </row>
    <row r="83" spans="1:16" ht="15" customHeight="1" x14ac:dyDescent="0.35">
      <c r="A83" s="4" t="s">
        <v>198</v>
      </c>
      <c r="B83" s="4" t="s">
        <v>203</v>
      </c>
      <c r="C83" s="9">
        <v>55.616</v>
      </c>
      <c r="D83" s="9">
        <v>10.595000000000001</v>
      </c>
      <c r="E83" s="4" t="s">
        <v>25</v>
      </c>
      <c r="F83" s="9">
        <v>17.356999999999999</v>
      </c>
      <c r="G83" s="10">
        <v>2.4</v>
      </c>
      <c r="H83" s="11">
        <v>145</v>
      </c>
      <c r="I83" s="9">
        <v>103.7</v>
      </c>
      <c r="J83" s="9">
        <v>68.5</v>
      </c>
      <c r="K83" s="9">
        <v>187.8</v>
      </c>
      <c r="L83" s="10">
        <v>2.9449999999999998</v>
      </c>
      <c r="M83" s="9">
        <v>16.3</v>
      </c>
      <c r="N83" s="10">
        <v>25</v>
      </c>
      <c r="O83" s="12">
        <v>40937</v>
      </c>
      <c r="P83" s="9">
        <v>58.606772919999997</v>
      </c>
    </row>
    <row r="84" spans="1:16" ht="15" customHeight="1" x14ac:dyDescent="0.35">
      <c r="A84" s="3" t="s">
        <v>198</v>
      </c>
      <c r="B84" s="3" t="s">
        <v>204</v>
      </c>
      <c r="C84" s="5">
        <v>5.7110000000000003</v>
      </c>
      <c r="D84" s="5">
        <v>16.574999999999999</v>
      </c>
      <c r="E84" s="3" t="s">
        <v>25</v>
      </c>
      <c r="F84" s="5">
        <v>24.997</v>
      </c>
      <c r="G84" s="6">
        <v>3.5</v>
      </c>
      <c r="H84" s="7">
        <v>210</v>
      </c>
      <c r="I84" s="5">
        <v>107.1</v>
      </c>
      <c r="J84" s="5">
        <v>70.3</v>
      </c>
      <c r="K84" s="5">
        <v>194.1</v>
      </c>
      <c r="L84" s="6">
        <v>3.4430000000000001</v>
      </c>
      <c r="M84" s="5">
        <v>19</v>
      </c>
      <c r="N84" s="6">
        <v>22</v>
      </c>
      <c r="O84" s="8">
        <v>41149</v>
      </c>
      <c r="P84" s="5">
        <v>84.83077858</v>
      </c>
    </row>
    <row r="85" spans="1:16" ht="15" customHeight="1" x14ac:dyDescent="0.35">
      <c r="A85" s="4" t="s">
        <v>198</v>
      </c>
      <c r="B85" s="4" t="s">
        <v>206</v>
      </c>
      <c r="C85" s="9">
        <v>0.11</v>
      </c>
      <c r="D85" s="9">
        <v>20.94</v>
      </c>
      <c r="E85" s="4" t="s">
        <v>25</v>
      </c>
      <c r="F85" s="9">
        <v>25.45</v>
      </c>
      <c r="G85" s="10">
        <v>3</v>
      </c>
      <c r="H85" s="11">
        <v>161</v>
      </c>
      <c r="I85" s="9">
        <v>97.2</v>
      </c>
      <c r="J85" s="9">
        <v>72.400000000000006</v>
      </c>
      <c r="K85" s="9">
        <v>180.3</v>
      </c>
      <c r="L85" s="10">
        <v>3.1309999999999998</v>
      </c>
      <c r="M85" s="9">
        <v>19.8</v>
      </c>
      <c r="N85" s="10">
        <v>21</v>
      </c>
      <c r="O85" s="12">
        <v>41089</v>
      </c>
      <c r="P85" s="9">
        <v>67.544154939999999</v>
      </c>
    </row>
    <row r="86" spans="1:16" ht="15" customHeight="1" x14ac:dyDescent="0.35">
      <c r="A86" s="3" t="s">
        <v>198</v>
      </c>
      <c r="B86" s="3" t="s">
        <v>208</v>
      </c>
      <c r="C86" s="5">
        <v>11.337</v>
      </c>
      <c r="D86" s="5">
        <v>19.125</v>
      </c>
      <c r="E86" s="3" t="s">
        <v>66</v>
      </c>
      <c r="F86" s="5">
        <v>31.806999999999999</v>
      </c>
      <c r="G86" s="6">
        <v>3.5</v>
      </c>
      <c r="H86" s="7">
        <v>200</v>
      </c>
      <c r="I86" s="5">
        <v>107.3</v>
      </c>
      <c r="J86" s="5">
        <v>69.900000000000006</v>
      </c>
      <c r="K86" s="5">
        <v>186.6</v>
      </c>
      <c r="L86" s="6">
        <v>4.5199999999999996</v>
      </c>
      <c r="M86" s="5">
        <v>24.3</v>
      </c>
      <c r="N86" s="6">
        <v>18</v>
      </c>
      <c r="O86" s="8">
        <v>40925</v>
      </c>
      <c r="P86" s="5">
        <v>83.920815039999994</v>
      </c>
    </row>
    <row r="87" spans="1:16" ht="15" customHeight="1" x14ac:dyDescent="0.35">
      <c r="A87" s="4" t="s">
        <v>198</v>
      </c>
      <c r="B87" s="4" t="s">
        <v>210</v>
      </c>
      <c r="C87" s="9">
        <v>39.347999999999999</v>
      </c>
      <c r="D87" s="9">
        <v>13.88</v>
      </c>
      <c r="E87" s="4" t="s">
        <v>66</v>
      </c>
      <c r="F87" s="9">
        <v>22.527000000000001</v>
      </c>
      <c r="G87" s="10">
        <v>3</v>
      </c>
      <c r="H87" s="11">
        <v>173</v>
      </c>
      <c r="I87" s="9">
        <v>107.3</v>
      </c>
      <c r="J87" s="9">
        <v>66.7</v>
      </c>
      <c r="K87" s="9">
        <v>178.3</v>
      </c>
      <c r="L87" s="10">
        <v>3.51</v>
      </c>
      <c r="M87" s="9">
        <v>19.5</v>
      </c>
      <c r="N87" s="10">
        <v>20</v>
      </c>
      <c r="O87" s="12">
        <v>41047</v>
      </c>
      <c r="P87" s="9">
        <v>70.660941789999995</v>
      </c>
    </row>
    <row r="88" spans="1:16" ht="15" customHeight="1" x14ac:dyDescent="0.35">
      <c r="A88" s="3" t="s">
        <v>212</v>
      </c>
      <c r="B88" s="3" t="s">
        <v>213</v>
      </c>
      <c r="C88" s="5">
        <v>14.351000000000001</v>
      </c>
      <c r="D88" s="5">
        <v>8.8000000000000007</v>
      </c>
      <c r="E88" s="3" t="s">
        <v>25</v>
      </c>
      <c r="F88" s="5">
        <v>16.239999999999998</v>
      </c>
      <c r="G88" s="6">
        <v>2</v>
      </c>
      <c r="H88" s="7">
        <v>125</v>
      </c>
      <c r="I88" s="5">
        <v>106.5</v>
      </c>
      <c r="J88" s="5">
        <v>69.099999999999994</v>
      </c>
      <c r="K88" s="5">
        <v>184.8</v>
      </c>
      <c r="L88" s="6">
        <v>2.7690000000000001</v>
      </c>
      <c r="M88" s="5">
        <v>15</v>
      </c>
      <c r="N88" s="6">
        <v>28</v>
      </c>
      <c r="O88" s="8">
        <v>41262</v>
      </c>
      <c r="P88" s="5">
        <v>50.997747609999998</v>
      </c>
    </row>
    <row r="89" spans="1:16" ht="15" customHeight="1" x14ac:dyDescent="0.35">
      <c r="A89" s="4" t="s">
        <v>212</v>
      </c>
      <c r="B89" s="4" t="s">
        <v>215</v>
      </c>
      <c r="C89" s="9">
        <v>26.529</v>
      </c>
      <c r="D89" s="9">
        <v>13.89</v>
      </c>
      <c r="E89" s="4" t="s">
        <v>25</v>
      </c>
      <c r="F89" s="9">
        <v>16.54</v>
      </c>
      <c r="G89" s="10">
        <v>2</v>
      </c>
      <c r="H89" s="11">
        <v>125</v>
      </c>
      <c r="I89" s="9">
        <v>106.4</v>
      </c>
      <c r="J89" s="9">
        <v>69.599999999999994</v>
      </c>
      <c r="K89" s="9">
        <v>185</v>
      </c>
      <c r="L89" s="10">
        <v>2.8919999999999999</v>
      </c>
      <c r="M89" s="9">
        <v>16</v>
      </c>
      <c r="N89" s="10">
        <v>30</v>
      </c>
      <c r="O89" s="12">
        <v>40962</v>
      </c>
      <c r="P89" s="9">
        <v>51.113474259999997</v>
      </c>
    </row>
    <row r="90" spans="1:16" ht="15" customHeight="1" x14ac:dyDescent="0.35">
      <c r="A90" s="3" t="s">
        <v>212</v>
      </c>
      <c r="B90" s="3" t="s">
        <v>216</v>
      </c>
      <c r="C90" s="5">
        <v>67.956000000000003</v>
      </c>
      <c r="D90" s="5">
        <v>11.03</v>
      </c>
      <c r="E90" s="3" t="s">
        <v>25</v>
      </c>
      <c r="F90" s="5">
        <v>19.035</v>
      </c>
      <c r="G90" s="6">
        <v>3</v>
      </c>
      <c r="H90" s="7">
        <v>153</v>
      </c>
      <c r="I90" s="5">
        <v>108.5</v>
      </c>
      <c r="J90" s="5">
        <v>73</v>
      </c>
      <c r="K90" s="5">
        <v>199.7</v>
      </c>
      <c r="L90" s="6">
        <v>3.379</v>
      </c>
      <c r="M90" s="5">
        <v>16</v>
      </c>
      <c r="N90" s="6">
        <v>24</v>
      </c>
      <c r="O90" s="8">
        <v>41174</v>
      </c>
      <c r="P90" s="5">
        <v>62.239966629999998</v>
      </c>
    </row>
    <row r="91" spans="1:16" ht="15" customHeight="1" x14ac:dyDescent="0.35">
      <c r="A91" s="4" t="s">
        <v>212</v>
      </c>
      <c r="B91" s="4" t="s">
        <v>218</v>
      </c>
      <c r="C91" s="9">
        <v>81.174000000000007</v>
      </c>
      <c r="D91" s="9">
        <v>14.875</v>
      </c>
      <c r="E91" s="4" t="s">
        <v>25</v>
      </c>
      <c r="F91" s="9">
        <v>22.605</v>
      </c>
      <c r="G91" s="10">
        <v>4.5999999999999996</v>
      </c>
      <c r="H91" s="11">
        <v>200</v>
      </c>
      <c r="I91" s="9">
        <v>114.7</v>
      </c>
      <c r="J91" s="9">
        <v>78.2</v>
      </c>
      <c r="K91" s="9">
        <v>212</v>
      </c>
      <c r="L91" s="10">
        <v>3.9580000000000002</v>
      </c>
      <c r="M91" s="9">
        <v>19</v>
      </c>
      <c r="N91" s="10">
        <v>21</v>
      </c>
      <c r="O91" s="12">
        <v>41114</v>
      </c>
      <c r="P91" s="9">
        <v>80.657696459999997</v>
      </c>
    </row>
    <row r="92" spans="1:16" ht="15" customHeight="1" x14ac:dyDescent="0.35">
      <c r="A92" s="3" t="s">
        <v>212</v>
      </c>
      <c r="B92" s="3" t="s">
        <v>220</v>
      </c>
      <c r="C92" s="5">
        <v>27.609000000000002</v>
      </c>
      <c r="D92" s="5">
        <v>20.43</v>
      </c>
      <c r="E92" s="3" t="s">
        <v>66</v>
      </c>
      <c r="F92" s="5">
        <v>27.56</v>
      </c>
      <c r="G92" s="6">
        <v>4</v>
      </c>
      <c r="H92" s="7">
        <v>210</v>
      </c>
      <c r="I92" s="5">
        <v>111.6</v>
      </c>
      <c r="J92" s="5">
        <v>70.2</v>
      </c>
      <c r="K92" s="5">
        <v>190.1</v>
      </c>
      <c r="L92" s="6">
        <v>3.8759999999999999</v>
      </c>
      <c r="M92" s="5">
        <v>21</v>
      </c>
      <c r="N92" s="6">
        <v>18</v>
      </c>
      <c r="O92" s="8">
        <v>39491</v>
      </c>
      <c r="P92" s="5">
        <v>85.949744249999995</v>
      </c>
    </row>
    <row r="93" spans="1:16" ht="15" customHeight="1" x14ac:dyDescent="0.35">
      <c r="A93" s="4" t="s">
        <v>212</v>
      </c>
      <c r="B93" s="4" t="s">
        <v>222</v>
      </c>
      <c r="C93" s="9">
        <v>20.38</v>
      </c>
      <c r="D93" s="9">
        <v>14.795</v>
      </c>
      <c r="E93" s="4" t="s">
        <v>66</v>
      </c>
      <c r="F93" s="9">
        <v>22.51</v>
      </c>
      <c r="G93" s="10">
        <v>3.3</v>
      </c>
      <c r="H93" s="11">
        <v>170</v>
      </c>
      <c r="I93" s="9">
        <v>112.2</v>
      </c>
      <c r="J93" s="9">
        <v>74.900000000000006</v>
      </c>
      <c r="K93" s="9">
        <v>194.7</v>
      </c>
      <c r="L93" s="10">
        <v>3.944</v>
      </c>
      <c r="M93" s="9">
        <v>20</v>
      </c>
      <c r="N93" s="10">
        <v>21</v>
      </c>
      <c r="O93" s="12">
        <v>40106</v>
      </c>
      <c r="P93" s="9">
        <v>69.671460999999994</v>
      </c>
    </row>
    <row r="94" spans="1:16" ht="15" customHeight="1" x14ac:dyDescent="0.35">
      <c r="A94" s="3" t="s">
        <v>224</v>
      </c>
      <c r="B94" s="3" t="s">
        <v>225</v>
      </c>
      <c r="C94" s="5">
        <v>18.391999999999999</v>
      </c>
      <c r="D94" s="5">
        <v>26.05</v>
      </c>
      <c r="E94" s="3" t="s">
        <v>25</v>
      </c>
      <c r="F94" s="5">
        <v>31.75</v>
      </c>
      <c r="G94" s="6">
        <v>2.2999999999999998</v>
      </c>
      <c r="H94" s="7">
        <v>185</v>
      </c>
      <c r="I94" s="5">
        <v>105.9</v>
      </c>
      <c r="J94" s="5">
        <v>67.7</v>
      </c>
      <c r="K94" s="5">
        <v>177.4</v>
      </c>
      <c r="L94" s="6">
        <v>3.25</v>
      </c>
      <c r="M94" s="5">
        <v>16.399999999999999</v>
      </c>
      <c r="N94" s="6">
        <v>26</v>
      </c>
      <c r="O94" s="8">
        <v>40657</v>
      </c>
      <c r="P94" s="5">
        <v>78.280730879999993</v>
      </c>
    </row>
    <row r="95" spans="1:16" ht="15" customHeight="1" x14ac:dyDescent="0.35">
      <c r="A95" s="4" t="s">
        <v>224</v>
      </c>
      <c r="B95" s="4" t="s">
        <v>227</v>
      </c>
      <c r="C95" s="9">
        <v>27.602</v>
      </c>
      <c r="D95" s="9">
        <v>41.45</v>
      </c>
      <c r="E95" s="4" t="s">
        <v>25</v>
      </c>
      <c r="F95" s="9">
        <v>49.9</v>
      </c>
      <c r="G95" s="10">
        <v>3.2</v>
      </c>
      <c r="H95" s="11">
        <v>221</v>
      </c>
      <c r="I95" s="9">
        <v>111.5</v>
      </c>
      <c r="J95" s="9">
        <v>70.8</v>
      </c>
      <c r="K95" s="9">
        <v>189.4</v>
      </c>
      <c r="L95" s="10">
        <v>3.823</v>
      </c>
      <c r="M95" s="9">
        <v>21.1</v>
      </c>
      <c r="N95" s="10">
        <v>25</v>
      </c>
      <c r="O95" s="12">
        <v>40736</v>
      </c>
      <c r="P95" s="9">
        <v>98.249737499999995</v>
      </c>
    </row>
    <row r="96" spans="1:16" ht="15" customHeight="1" x14ac:dyDescent="0.35">
      <c r="A96" s="3" t="s">
        <v>224</v>
      </c>
      <c r="B96" s="3" t="s">
        <v>229</v>
      </c>
      <c r="C96" s="5">
        <v>16.774000000000001</v>
      </c>
      <c r="D96" s="5">
        <v>50.375</v>
      </c>
      <c r="E96" s="3" t="s">
        <v>25</v>
      </c>
      <c r="F96" s="5">
        <v>69.7</v>
      </c>
      <c r="G96" s="6">
        <v>4.3</v>
      </c>
      <c r="H96" s="7">
        <v>275</v>
      </c>
      <c r="I96" s="5">
        <v>121.5</v>
      </c>
      <c r="J96" s="5">
        <v>73.099999999999994</v>
      </c>
      <c r="K96" s="5">
        <v>203.1</v>
      </c>
      <c r="L96" s="6">
        <v>4.133</v>
      </c>
      <c r="M96" s="5">
        <v>23.2</v>
      </c>
      <c r="N96" s="6">
        <v>21</v>
      </c>
      <c r="O96" s="8">
        <v>40707</v>
      </c>
      <c r="P96" s="5">
        <v>125.2738757</v>
      </c>
    </row>
    <row r="97" spans="1:16" ht="15" customHeight="1" x14ac:dyDescent="0.35">
      <c r="A97" s="4" t="s">
        <v>224</v>
      </c>
      <c r="B97" s="4" t="s">
        <v>231</v>
      </c>
      <c r="C97" s="9">
        <v>3.3109999999999999</v>
      </c>
      <c r="D97" s="9">
        <v>58.6</v>
      </c>
      <c r="E97" s="4" t="s">
        <v>25</v>
      </c>
      <c r="F97" s="9">
        <v>82.6</v>
      </c>
      <c r="G97" s="10">
        <v>5</v>
      </c>
      <c r="H97" s="11">
        <v>302</v>
      </c>
      <c r="I97" s="9">
        <v>99</v>
      </c>
      <c r="J97" s="9">
        <v>71.3</v>
      </c>
      <c r="K97" s="9">
        <v>177.1</v>
      </c>
      <c r="L97" s="10">
        <v>4.125</v>
      </c>
      <c r="M97" s="9">
        <v>21.1</v>
      </c>
      <c r="N97" s="10">
        <v>20</v>
      </c>
      <c r="O97" s="12">
        <v>40619</v>
      </c>
      <c r="P97" s="9">
        <v>139.98229359999999</v>
      </c>
    </row>
    <row r="98" spans="1:16" ht="15" customHeight="1" x14ac:dyDescent="0.35">
      <c r="A98" s="3" t="s">
        <v>224</v>
      </c>
      <c r="B98" s="3" t="s">
        <v>233</v>
      </c>
      <c r="C98" s="5">
        <v>7.9980000000000002</v>
      </c>
      <c r="D98" s="5"/>
      <c r="E98" s="3" t="s">
        <v>25</v>
      </c>
      <c r="F98" s="5">
        <v>38.9</v>
      </c>
      <c r="G98" s="6">
        <v>2.2999999999999998</v>
      </c>
      <c r="H98" s="7">
        <v>190</v>
      </c>
      <c r="I98" s="5">
        <v>94.5</v>
      </c>
      <c r="J98" s="5">
        <v>67.5</v>
      </c>
      <c r="K98" s="5">
        <v>157.9</v>
      </c>
      <c r="L98" s="6">
        <v>3.0550000000000002</v>
      </c>
      <c r="M98" s="5">
        <v>15.9</v>
      </c>
      <c r="N98" s="6">
        <v>26</v>
      </c>
      <c r="O98" s="8">
        <v>40559</v>
      </c>
      <c r="P98" s="5">
        <v>82.807361929999999</v>
      </c>
    </row>
    <row r="99" spans="1:16" ht="15" customHeight="1" x14ac:dyDescent="0.35">
      <c r="A99" s="4" t="s">
        <v>224</v>
      </c>
      <c r="B99" s="4" t="s">
        <v>235</v>
      </c>
      <c r="C99" s="9">
        <v>1.526</v>
      </c>
      <c r="D99" s="9"/>
      <c r="E99" s="4" t="s">
        <v>25</v>
      </c>
      <c r="F99" s="9">
        <v>41</v>
      </c>
      <c r="G99" s="10">
        <v>2.2999999999999998</v>
      </c>
      <c r="H99" s="11">
        <v>185</v>
      </c>
      <c r="I99" s="9">
        <v>94.5</v>
      </c>
      <c r="J99" s="9">
        <v>67.5</v>
      </c>
      <c r="K99" s="9">
        <v>157.30000000000001</v>
      </c>
      <c r="L99" s="10">
        <v>2.9750000000000001</v>
      </c>
      <c r="M99" s="9">
        <v>14</v>
      </c>
      <c r="N99" s="10">
        <v>27</v>
      </c>
      <c r="O99" s="12">
        <v>40761</v>
      </c>
      <c r="P99" s="9">
        <v>81.848969240000002</v>
      </c>
    </row>
    <row r="100" spans="1:16" ht="15" customHeight="1" x14ac:dyDescent="0.35">
      <c r="A100" s="3" t="s">
        <v>224</v>
      </c>
      <c r="B100" s="3" t="s">
        <v>237</v>
      </c>
      <c r="C100" s="5">
        <v>11.592000000000001</v>
      </c>
      <c r="D100" s="5"/>
      <c r="E100" s="3" t="s">
        <v>25</v>
      </c>
      <c r="F100" s="5">
        <v>41.6</v>
      </c>
      <c r="G100" s="6">
        <v>3.2</v>
      </c>
      <c r="H100" s="7">
        <v>215</v>
      </c>
      <c r="I100" s="5">
        <v>105.9</v>
      </c>
      <c r="J100" s="5">
        <v>67.8</v>
      </c>
      <c r="K100" s="5">
        <v>180.3</v>
      </c>
      <c r="L100" s="6">
        <v>3.2130000000000001</v>
      </c>
      <c r="M100" s="5">
        <v>16.399999999999999</v>
      </c>
      <c r="N100" s="6">
        <v>26</v>
      </c>
      <c r="O100" s="8">
        <v>40732</v>
      </c>
      <c r="P100" s="5">
        <v>92.925791770000004</v>
      </c>
    </row>
    <row r="101" spans="1:16" ht="15" customHeight="1" x14ac:dyDescent="0.35">
      <c r="A101" s="4" t="s">
        <v>224</v>
      </c>
      <c r="B101" s="4" t="s">
        <v>239</v>
      </c>
      <c r="C101" s="9">
        <v>0.95399999999999996</v>
      </c>
      <c r="D101" s="9"/>
      <c r="E101" s="4" t="s">
        <v>25</v>
      </c>
      <c r="F101" s="9">
        <v>85.5</v>
      </c>
      <c r="G101" s="10">
        <v>5</v>
      </c>
      <c r="H101" s="11">
        <v>302</v>
      </c>
      <c r="I101" s="9">
        <v>113.6</v>
      </c>
      <c r="J101" s="9">
        <v>73.099999999999994</v>
      </c>
      <c r="K101" s="9">
        <v>196.6</v>
      </c>
      <c r="L101" s="10">
        <v>4.1150000000000002</v>
      </c>
      <c r="M101" s="9">
        <v>23.2</v>
      </c>
      <c r="N101" s="10">
        <v>20</v>
      </c>
      <c r="O101" s="12">
        <v>40644</v>
      </c>
      <c r="P101" s="9">
        <v>141.10098450000001</v>
      </c>
    </row>
    <row r="102" spans="1:16" ht="15" customHeight="1" x14ac:dyDescent="0.35">
      <c r="A102" s="3" t="s">
        <v>224</v>
      </c>
      <c r="B102" s="3" t="s">
        <v>241</v>
      </c>
      <c r="C102" s="5">
        <v>28.975999999999999</v>
      </c>
      <c r="D102" s="5"/>
      <c r="E102" s="3" t="s">
        <v>66</v>
      </c>
      <c r="F102" s="5">
        <v>35.299999999999997</v>
      </c>
      <c r="G102" s="6">
        <v>3.2</v>
      </c>
      <c r="H102" s="7">
        <v>215</v>
      </c>
      <c r="I102" s="5">
        <v>111</v>
      </c>
      <c r="J102" s="5">
        <v>72.2</v>
      </c>
      <c r="K102" s="5">
        <v>180.6</v>
      </c>
      <c r="L102" s="6">
        <v>4.3869999999999996</v>
      </c>
      <c r="M102" s="5">
        <v>19</v>
      </c>
      <c r="N102" s="6">
        <v>20</v>
      </c>
      <c r="O102" s="8">
        <v>40584</v>
      </c>
      <c r="P102" s="5">
        <v>90.495532130000001</v>
      </c>
    </row>
    <row r="103" spans="1:16" ht="15" customHeight="1" x14ac:dyDescent="0.35">
      <c r="A103" s="4" t="s">
        <v>243</v>
      </c>
      <c r="B103" s="4" t="s">
        <v>244</v>
      </c>
      <c r="C103" s="9">
        <v>42.643000000000001</v>
      </c>
      <c r="D103" s="9">
        <v>8.4499999999999993</v>
      </c>
      <c r="E103" s="4" t="s">
        <v>25</v>
      </c>
      <c r="F103" s="9">
        <v>13.499000000000001</v>
      </c>
      <c r="G103" s="10">
        <v>1.8</v>
      </c>
      <c r="H103" s="11">
        <v>126</v>
      </c>
      <c r="I103" s="9">
        <v>99.8</v>
      </c>
      <c r="J103" s="9">
        <v>67.3</v>
      </c>
      <c r="K103" s="9">
        <v>177.5</v>
      </c>
      <c r="L103" s="10">
        <v>2.593</v>
      </c>
      <c r="M103" s="9">
        <v>13.2</v>
      </c>
      <c r="N103" s="10">
        <v>30</v>
      </c>
      <c r="O103" s="12">
        <v>40786</v>
      </c>
      <c r="P103" s="9">
        <v>50.241977910000003</v>
      </c>
    </row>
    <row r="104" spans="1:16" ht="15" customHeight="1" x14ac:dyDescent="0.35">
      <c r="A104" s="3" t="s">
        <v>243</v>
      </c>
      <c r="B104" s="3" t="s">
        <v>246</v>
      </c>
      <c r="C104" s="5">
        <v>88.093999999999994</v>
      </c>
      <c r="D104" s="5">
        <v>11.295</v>
      </c>
      <c r="E104" s="3" t="s">
        <v>25</v>
      </c>
      <c r="F104" s="5">
        <v>20.39</v>
      </c>
      <c r="G104" s="6">
        <v>2.4</v>
      </c>
      <c r="H104" s="7">
        <v>155</v>
      </c>
      <c r="I104" s="5">
        <v>103.1</v>
      </c>
      <c r="J104" s="5">
        <v>69.099999999999994</v>
      </c>
      <c r="K104" s="5">
        <v>183.5</v>
      </c>
      <c r="L104" s="6">
        <v>3.012</v>
      </c>
      <c r="M104" s="5">
        <v>15.9</v>
      </c>
      <c r="N104" s="6">
        <v>25</v>
      </c>
      <c r="O104" s="8">
        <v>40757</v>
      </c>
      <c r="P104" s="5">
        <v>63.313727829999998</v>
      </c>
    </row>
    <row r="105" spans="1:16" ht="15" customHeight="1" x14ac:dyDescent="0.35">
      <c r="A105" s="4" t="s">
        <v>243</v>
      </c>
      <c r="B105" s="4" t="s">
        <v>248</v>
      </c>
      <c r="C105" s="9">
        <v>79.852999999999994</v>
      </c>
      <c r="D105" s="9">
        <v>15.125</v>
      </c>
      <c r="E105" s="4" t="s">
        <v>25</v>
      </c>
      <c r="F105" s="9">
        <v>26.248999999999999</v>
      </c>
      <c r="G105" s="10">
        <v>3</v>
      </c>
      <c r="H105" s="11">
        <v>222</v>
      </c>
      <c r="I105" s="9">
        <v>108.3</v>
      </c>
      <c r="J105" s="9">
        <v>70.3</v>
      </c>
      <c r="K105" s="9">
        <v>190.5</v>
      </c>
      <c r="L105" s="10">
        <v>3.294</v>
      </c>
      <c r="M105" s="9">
        <v>18.5</v>
      </c>
      <c r="N105" s="10">
        <v>25</v>
      </c>
      <c r="O105" s="12">
        <v>40669</v>
      </c>
      <c r="P105" s="9">
        <v>89.427820310000001</v>
      </c>
    </row>
    <row r="106" spans="1:16" ht="15" customHeight="1" x14ac:dyDescent="0.35">
      <c r="A106" s="3" t="s">
        <v>243</v>
      </c>
      <c r="B106" s="3" t="s">
        <v>250</v>
      </c>
      <c r="C106" s="5">
        <v>27.308</v>
      </c>
      <c r="D106" s="5">
        <v>15.38</v>
      </c>
      <c r="E106" s="3" t="s">
        <v>66</v>
      </c>
      <c r="F106" s="5">
        <v>26.399000000000001</v>
      </c>
      <c r="G106" s="6">
        <v>3.3</v>
      </c>
      <c r="H106" s="7">
        <v>170</v>
      </c>
      <c r="I106" s="5">
        <v>112.2</v>
      </c>
      <c r="J106" s="5">
        <v>74.900000000000006</v>
      </c>
      <c r="K106" s="5">
        <v>194.8</v>
      </c>
      <c r="L106" s="6">
        <v>3.9910000000000001</v>
      </c>
      <c r="M106" s="5">
        <v>20</v>
      </c>
      <c r="N106" s="6">
        <v>21</v>
      </c>
      <c r="O106" s="8">
        <v>40609</v>
      </c>
      <c r="P106" s="5">
        <v>71.171664129999996</v>
      </c>
    </row>
    <row r="107" spans="1:16" ht="15" customHeight="1" x14ac:dyDescent="0.35">
      <c r="A107" s="4" t="s">
        <v>243</v>
      </c>
      <c r="B107" s="4" t="s">
        <v>252</v>
      </c>
      <c r="C107" s="9">
        <v>42.573999999999998</v>
      </c>
      <c r="D107" s="9">
        <v>17.809999999999999</v>
      </c>
      <c r="E107" s="4" t="s">
        <v>66</v>
      </c>
      <c r="F107" s="9">
        <v>29.298999999999999</v>
      </c>
      <c r="G107" s="10">
        <v>3.3</v>
      </c>
      <c r="H107" s="11">
        <v>170</v>
      </c>
      <c r="I107" s="9">
        <v>106.3</v>
      </c>
      <c r="J107" s="9">
        <v>71.7</v>
      </c>
      <c r="K107" s="9">
        <v>182.6</v>
      </c>
      <c r="L107" s="10">
        <v>3.9470000000000001</v>
      </c>
      <c r="M107" s="9">
        <v>21</v>
      </c>
      <c r="N107" s="10">
        <v>19</v>
      </c>
      <c r="O107" s="12">
        <v>40811</v>
      </c>
      <c r="P107" s="9">
        <v>72.290355079999998</v>
      </c>
    </row>
    <row r="108" spans="1:16" ht="15" customHeight="1" x14ac:dyDescent="0.35">
      <c r="A108" s="3" t="s">
        <v>243</v>
      </c>
      <c r="B108" s="3" t="s">
        <v>254</v>
      </c>
      <c r="C108" s="5">
        <v>54.158000000000001</v>
      </c>
      <c r="D108" s="5"/>
      <c r="E108" s="3" t="s">
        <v>66</v>
      </c>
      <c r="F108" s="5">
        <v>22.798999999999999</v>
      </c>
      <c r="G108" s="6">
        <v>3.3</v>
      </c>
      <c r="H108" s="7">
        <v>170</v>
      </c>
      <c r="I108" s="5">
        <v>104.3</v>
      </c>
      <c r="J108" s="5">
        <v>70.400000000000006</v>
      </c>
      <c r="K108" s="5">
        <v>178</v>
      </c>
      <c r="L108" s="6">
        <v>3.8210000000000002</v>
      </c>
      <c r="M108" s="5">
        <v>19.399999999999999</v>
      </c>
      <c r="N108" s="6">
        <v>18</v>
      </c>
      <c r="O108" s="8">
        <v>40567</v>
      </c>
      <c r="P108" s="5">
        <v>69.78294434</v>
      </c>
    </row>
    <row r="109" spans="1:16" ht="15" customHeight="1" x14ac:dyDescent="0.35">
      <c r="A109" s="4" t="s">
        <v>243</v>
      </c>
      <c r="B109" s="4" t="s">
        <v>256</v>
      </c>
      <c r="C109" s="9">
        <v>65.004999999999995</v>
      </c>
      <c r="D109" s="9"/>
      <c r="E109" s="4" t="s">
        <v>66</v>
      </c>
      <c r="F109" s="9">
        <v>17.89</v>
      </c>
      <c r="G109" s="10">
        <v>3.3</v>
      </c>
      <c r="H109" s="11">
        <v>170</v>
      </c>
      <c r="I109" s="9">
        <v>116.1</v>
      </c>
      <c r="J109" s="9">
        <v>66.5</v>
      </c>
      <c r="K109" s="9">
        <v>196.1</v>
      </c>
      <c r="L109" s="10">
        <v>3.2170000000000001</v>
      </c>
      <c r="M109" s="9">
        <v>19.399999999999999</v>
      </c>
      <c r="N109" s="10">
        <v>18</v>
      </c>
      <c r="O109" s="12">
        <v>40782</v>
      </c>
      <c r="P109" s="9">
        <v>67.889270589999995</v>
      </c>
    </row>
    <row r="110" spans="1:16" ht="15" customHeight="1" x14ac:dyDescent="0.35">
      <c r="A110" s="3" t="s">
        <v>258</v>
      </c>
      <c r="B110" s="3" t="s">
        <v>259</v>
      </c>
      <c r="C110" s="5">
        <v>1.1120000000000001</v>
      </c>
      <c r="D110" s="5">
        <v>11.24</v>
      </c>
      <c r="E110" s="3" t="s">
        <v>25</v>
      </c>
      <c r="F110" s="5">
        <v>18.145</v>
      </c>
      <c r="G110" s="6">
        <v>3.1</v>
      </c>
      <c r="H110" s="7">
        <v>150</v>
      </c>
      <c r="I110" s="5">
        <v>107</v>
      </c>
      <c r="J110" s="5">
        <v>69.400000000000006</v>
      </c>
      <c r="K110" s="5">
        <v>192</v>
      </c>
      <c r="L110" s="6">
        <v>3.1019999999999999</v>
      </c>
      <c r="M110" s="5">
        <v>15.2</v>
      </c>
      <c r="N110" s="6">
        <v>25</v>
      </c>
      <c r="O110" s="8">
        <v>40694</v>
      </c>
      <c r="P110" s="5">
        <v>60.861611549999999</v>
      </c>
    </row>
    <row r="111" spans="1:16" ht="15" customHeight="1" x14ac:dyDescent="0.35">
      <c r="A111" s="4" t="s">
        <v>258</v>
      </c>
      <c r="B111" s="4" t="s">
        <v>261</v>
      </c>
      <c r="C111" s="9">
        <v>38.554000000000002</v>
      </c>
      <c r="D111" s="9"/>
      <c r="E111" s="4" t="s">
        <v>25</v>
      </c>
      <c r="F111" s="9">
        <v>24.15</v>
      </c>
      <c r="G111" s="10">
        <v>3.5</v>
      </c>
      <c r="H111" s="11">
        <v>215</v>
      </c>
      <c r="I111" s="9">
        <v>109</v>
      </c>
      <c r="J111" s="9">
        <v>73.599999999999994</v>
      </c>
      <c r="K111" s="9">
        <v>195.9</v>
      </c>
      <c r="L111" s="10">
        <v>3.4550000000000001</v>
      </c>
      <c r="M111" s="9">
        <v>18</v>
      </c>
      <c r="N111" s="14">
        <v>25</v>
      </c>
      <c r="O111" s="12">
        <v>40634</v>
      </c>
      <c r="P111" s="9">
        <v>86.272522910000006</v>
      </c>
    </row>
    <row r="112" spans="1:16" ht="15" customHeight="1" x14ac:dyDescent="0.35">
      <c r="A112" s="3" t="s">
        <v>258</v>
      </c>
      <c r="B112" s="3" t="s">
        <v>263</v>
      </c>
      <c r="C112" s="5">
        <v>80.254999999999995</v>
      </c>
      <c r="D112" s="5"/>
      <c r="E112" s="3" t="s">
        <v>25</v>
      </c>
      <c r="F112" s="5">
        <v>18.27</v>
      </c>
      <c r="G112" s="6">
        <v>2.4</v>
      </c>
      <c r="H112" s="7">
        <v>150</v>
      </c>
      <c r="I112" s="5">
        <v>107</v>
      </c>
      <c r="J112" s="5">
        <v>70.099999999999994</v>
      </c>
      <c r="K112" s="5">
        <v>186.7</v>
      </c>
      <c r="L112" s="6">
        <v>2.9580000000000002</v>
      </c>
      <c r="M112" s="5">
        <v>15</v>
      </c>
      <c r="N112" s="6">
        <v>27</v>
      </c>
      <c r="O112" s="8">
        <v>40106</v>
      </c>
      <c r="P112" s="5">
        <v>60.727446929999999</v>
      </c>
    </row>
    <row r="113" spans="1:16" ht="15" customHeight="1" x14ac:dyDescent="0.35">
      <c r="A113" s="4" t="s">
        <v>258</v>
      </c>
      <c r="B113" s="4" t="s">
        <v>264</v>
      </c>
      <c r="C113" s="9">
        <v>14.69</v>
      </c>
      <c r="D113" s="9">
        <v>19.89</v>
      </c>
      <c r="E113" s="4" t="s">
        <v>25</v>
      </c>
      <c r="F113" s="9">
        <v>36.228999999999999</v>
      </c>
      <c r="G113" s="10">
        <v>4</v>
      </c>
      <c r="H113" s="11">
        <v>250</v>
      </c>
      <c r="I113" s="9">
        <v>113.8</v>
      </c>
      <c r="J113" s="9">
        <v>74.400000000000006</v>
      </c>
      <c r="K113" s="9">
        <v>205.4</v>
      </c>
      <c r="L113" s="10">
        <v>3.9670000000000001</v>
      </c>
      <c r="M113" s="9">
        <v>18.5</v>
      </c>
      <c r="N113" s="10">
        <v>22</v>
      </c>
      <c r="O113" s="12">
        <v>40592</v>
      </c>
      <c r="P113" s="9">
        <v>103.4416926</v>
      </c>
    </row>
    <row r="114" spans="1:16" ht="15" customHeight="1" x14ac:dyDescent="0.35">
      <c r="A114" s="3" t="s">
        <v>258</v>
      </c>
      <c r="B114" s="3" t="s">
        <v>266</v>
      </c>
      <c r="C114" s="5">
        <v>20.016999999999999</v>
      </c>
      <c r="D114" s="5">
        <v>19.925000000000001</v>
      </c>
      <c r="E114" s="3" t="s">
        <v>66</v>
      </c>
      <c r="F114" s="5">
        <v>31.597999999999999</v>
      </c>
      <c r="G114" s="6">
        <v>4.3</v>
      </c>
      <c r="H114" s="7">
        <v>190</v>
      </c>
      <c r="I114" s="5">
        <v>107</v>
      </c>
      <c r="J114" s="5">
        <v>67.8</v>
      </c>
      <c r="K114" s="5">
        <v>181.2</v>
      </c>
      <c r="L114" s="6">
        <v>4.0679999999999996</v>
      </c>
      <c r="M114" s="5">
        <v>17.5</v>
      </c>
      <c r="N114" s="6">
        <v>19</v>
      </c>
      <c r="O114" s="8">
        <v>40807</v>
      </c>
      <c r="P114" s="5">
        <v>80.511672590000003</v>
      </c>
    </row>
    <row r="115" spans="1:16" ht="15" customHeight="1" x14ac:dyDescent="0.35">
      <c r="A115" s="4" t="s">
        <v>258</v>
      </c>
      <c r="B115" s="4" t="s">
        <v>268</v>
      </c>
      <c r="C115" s="9">
        <v>24.361000000000001</v>
      </c>
      <c r="D115" s="9">
        <v>15.24</v>
      </c>
      <c r="E115" s="4" t="s">
        <v>66</v>
      </c>
      <c r="F115" s="9">
        <v>25.344999999999999</v>
      </c>
      <c r="G115" s="10">
        <v>3.4</v>
      </c>
      <c r="H115" s="11">
        <v>185</v>
      </c>
      <c r="I115" s="9">
        <v>120</v>
      </c>
      <c r="J115" s="9">
        <v>72.2</v>
      </c>
      <c r="K115" s="9">
        <v>201.4</v>
      </c>
      <c r="L115" s="10">
        <v>3.948</v>
      </c>
      <c r="M115" s="9">
        <v>25</v>
      </c>
      <c r="N115" s="10">
        <v>22</v>
      </c>
      <c r="O115" s="12">
        <v>40719</v>
      </c>
      <c r="P115" s="9">
        <v>76.096570420000006</v>
      </c>
    </row>
    <row r="116" spans="1:16" ht="15" customHeight="1" x14ac:dyDescent="0.35">
      <c r="A116" s="3" t="s">
        <v>270</v>
      </c>
      <c r="B116" s="3" t="s">
        <v>103</v>
      </c>
      <c r="C116" s="5">
        <v>32.734000000000002</v>
      </c>
      <c r="D116" s="5">
        <v>7.75</v>
      </c>
      <c r="E116" s="3" t="s">
        <v>25</v>
      </c>
      <c r="F116" s="5">
        <v>12.64</v>
      </c>
      <c r="G116" s="6">
        <v>2</v>
      </c>
      <c r="H116" s="7">
        <v>132</v>
      </c>
      <c r="I116" s="5">
        <v>105</v>
      </c>
      <c r="J116" s="5">
        <v>74.400000000000006</v>
      </c>
      <c r="K116" s="5">
        <v>174.4</v>
      </c>
      <c r="L116" s="6">
        <v>2.5590000000000002</v>
      </c>
      <c r="M116" s="5">
        <v>12.5</v>
      </c>
      <c r="N116" s="6">
        <v>29</v>
      </c>
      <c r="O116" s="8">
        <v>40659</v>
      </c>
      <c r="P116" s="5">
        <v>52.084898750000001</v>
      </c>
    </row>
    <row r="117" spans="1:16" ht="15" customHeight="1" x14ac:dyDescent="0.35">
      <c r="A117" s="4" t="s">
        <v>270</v>
      </c>
      <c r="B117" s="4" t="s">
        <v>272</v>
      </c>
      <c r="C117" s="9">
        <v>5.24</v>
      </c>
      <c r="D117" s="9">
        <v>9.8000000000000007</v>
      </c>
      <c r="E117" s="4" t="s">
        <v>25</v>
      </c>
      <c r="F117" s="9">
        <v>16.079999999999998</v>
      </c>
      <c r="G117" s="10">
        <v>2</v>
      </c>
      <c r="H117" s="11">
        <v>132</v>
      </c>
      <c r="I117" s="9">
        <v>108</v>
      </c>
      <c r="J117" s="9">
        <v>71</v>
      </c>
      <c r="K117" s="9">
        <v>186.3</v>
      </c>
      <c r="L117" s="10">
        <v>2.9420000000000002</v>
      </c>
      <c r="M117" s="9">
        <v>16</v>
      </c>
      <c r="N117" s="10">
        <v>27</v>
      </c>
      <c r="O117" s="12">
        <v>40861</v>
      </c>
      <c r="P117" s="9">
        <v>53.411897670000002</v>
      </c>
    </row>
    <row r="118" spans="1:16" ht="15" customHeight="1" x14ac:dyDescent="0.35">
      <c r="A118" s="3" t="s">
        <v>270</v>
      </c>
      <c r="B118" s="3" t="s">
        <v>274</v>
      </c>
      <c r="C118" s="5">
        <v>24.155000000000001</v>
      </c>
      <c r="D118" s="5">
        <v>12.025</v>
      </c>
      <c r="E118" s="3" t="s">
        <v>66</v>
      </c>
      <c r="F118" s="5">
        <v>18.850000000000001</v>
      </c>
      <c r="G118" s="6">
        <v>2.4</v>
      </c>
      <c r="H118" s="7">
        <v>150</v>
      </c>
      <c r="I118" s="5">
        <v>113.3</v>
      </c>
      <c r="J118" s="5">
        <v>76.8</v>
      </c>
      <c r="K118" s="5">
        <v>186.3</v>
      </c>
      <c r="L118" s="6">
        <v>3.528</v>
      </c>
      <c r="M118" s="5">
        <v>20</v>
      </c>
      <c r="N118" s="6">
        <v>24</v>
      </c>
      <c r="O118" s="8">
        <v>40657</v>
      </c>
      <c r="P118" s="5">
        <v>60.951185119999998</v>
      </c>
    </row>
    <row r="119" spans="1:16" ht="15" customHeight="1" x14ac:dyDescent="0.35">
      <c r="A119" s="4" t="s">
        <v>270</v>
      </c>
      <c r="B119" s="4" t="s">
        <v>275</v>
      </c>
      <c r="C119" s="9">
        <v>1.8720000000000001</v>
      </c>
      <c r="D119" s="9"/>
      <c r="E119" s="4" t="s">
        <v>25</v>
      </c>
      <c r="F119" s="9">
        <v>43</v>
      </c>
      <c r="G119" s="10">
        <v>3.5</v>
      </c>
      <c r="H119" s="11">
        <v>253</v>
      </c>
      <c r="I119" s="9">
        <v>113.3</v>
      </c>
      <c r="J119" s="9">
        <v>76.3</v>
      </c>
      <c r="K119" s="9">
        <v>165.4</v>
      </c>
      <c r="L119" s="10">
        <v>2.85</v>
      </c>
      <c r="M119" s="9">
        <v>12</v>
      </c>
      <c r="N119" s="10">
        <v>21</v>
      </c>
      <c r="O119" s="12">
        <v>41087</v>
      </c>
      <c r="P119" s="9">
        <v>106.98445630000001</v>
      </c>
    </row>
    <row r="120" spans="1:16" ht="15" customHeight="1" x14ac:dyDescent="0.35">
      <c r="A120" s="3" t="s">
        <v>276</v>
      </c>
      <c r="B120" s="3" t="s">
        <v>277</v>
      </c>
      <c r="C120" s="5">
        <v>51.645000000000003</v>
      </c>
      <c r="D120" s="5">
        <v>13.79</v>
      </c>
      <c r="E120" s="3" t="s">
        <v>25</v>
      </c>
      <c r="F120" s="5">
        <v>21.61</v>
      </c>
      <c r="G120" s="6">
        <v>2.4</v>
      </c>
      <c r="H120" s="7">
        <v>150</v>
      </c>
      <c r="I120" s="5">
        <v>104.1</v>
      </c>
      <c r="J120" s="5">
        <v>68.400000000000006</v>
      </c>
      <c r="K120" s="5">
        <v>181.9</v>
      </c>
      <c r="L120" s="6">
        <v>2.9060000000000001</v>
      </c>
      <c r="M120" s="5">
        <v>15</v>
      </c>
      <c r="N120" s="6">
        <v>27</v>
      </c>
      <c r="O120" s="8">
        <v>40933</v>
      </c>
      <c r="P120" s="5">
        <v>62.015870300000003</v>
      </c>
    </row>
    <row r="121" spans="1:16" ht="15" customHeight="1" x14ac:dyDescent="0.35">
      <c r="A121" s="4" t="s">
        <v>276</v>
      </c>
      <c r="B121" s="4" t="s">
        <v>279</v>
      </c>
      <c r="C121" s="9">
        <v>131.09700000000001</v>
      </c>
      <c r="D121" s="9">
        <v>10.29</v>
      </c>
      <c r="E121" s="4" t="s">
        <v>25</v>
      </c>
      <c r="F121" s="9">
        <v>19.72</v>
      </c>
      <c r="G121" s="10">
        <v>3.4</v>
      </c>
      <c r="H121" s="11">
        <v>175</v>
      </c>
      <c r="I121" s="9">
        <v>107</v>
      </c>
      <c r="J121" s="9">
        <v>70.400000000000006</v>
      </c>
      <c r="K121" s="9">
        <v>186.3</v>
      </c>
      <c r="L121" s="10">
        <v>3.0910000000000002</v>
      </c>
      <c r="M121" s="9">
        <v>15.2</v>
      </c>
      <c r="N121" s="10">
        <v>25</v>
      </c>
      <c r="O121" s="12">
        <v>41239</v>
      </c>
      <c r="P121" s="9">
        <v>70.389737260000004</v>
      </c>
    </row>
    <row r="122" spans="1:16" ht="15" customHeight="1" x14ac:dyDescent="0.35">
      <c r="A122" s="3" t="s">
        <v>276</v>
      </c>
      <c r="B122" s="3" t="s">
        <v>281</v>
      </c>
      <c r="C122" s="5">
        <v>19.911000000000001</v>
      </c>
      <c r="D122" s="5">
        <v>17.805</v>
      </c>
      <c r="E122" s="3" t="s">
        <v>25</v>
      </c>
      <c r="F122" s="5">
        <v>25.31</v>
      </c>
      <c r="G122" s="6">
        <v>3.8</v>
      </c>
      <c r="H122" s="7">
        <v>200</v>
      </c>
      <c r="I122" s="5">
        <v>101.1</v>
      </c>
      <c r="J122" s="5">
        <v>74.5</v>
      </c>
      <c r="K122" s="5">
        <v>193.4</v>
      </c>
      <c r="L122" s="6">
        <v>3.492</v>
      </c>
      <c r="M122" s="5">
        <v>16.8</v>
      </c>
      <c r="N122" s="6">
        <v>25</v>
      </c>
      <c r="O122" s="8">
        <v>41076</v>
      </c>
      <c r="P122" s="5">
        <v>81.492726160000004</v>
      </c>
    </row>
    <row r="123" spans="1:16" ht="15" customHeight="1" x14ac:dyDescent="0.35">
      <c r="A123" s="4" t="s">
        <v>276</v>
      </c>
      <c r="B123" s="4" t="s">
        <v>283</v>
      </c>
      <c r="C123" s="9">
        <v>92.364000000000004</v>
      </c>
      <c r="D123" s="9">
        <v>14.01</v>
      </c>
      <c r="E123" s="4" t="s">
        <v>25</v>
      </c>
      <c r="F123" s="9">
        <v>21.664999999999999</v>
      </c>
      <c r="G123" s="10">
        <v>3.8</v>
      </c>
      <c r="H123" s="11">
        <v>195</v>
      </c>
      <c r="I123" s="9">
        <v>110.5</v>
      </c>
      <c r="J123" s="9">
        <v>72.7</v>
      </c>
      <c r="K123" s="9">
        <v>196.5</v>
      </c>
      <c r="L123" s="10">
        <v>3.3959999999999999</v>
      </c>
      <c r="M123" s="9">
        <v>18</v>
      </c>
      <c r="N123" s="10">
        <v>25</v>
      </c>
      <c r="O123" s="12">
        <v>41197</v>
      </c>
      <c r="P123" s="9">
        <v>78.318168130000004</v>
      </c>
    </row>
    <row r="124" spans="1:16" ht="15" customHeight="1" x14ac:dyDescent="0.35">
      <c r="A124" s="3" t="s">
        <v>276</v>
      </c>
      <c r="B124" s="3" t="s">
        <v>285</v>
      </c>
      <c r="C124" s="5">
        <v>35.945</v>
      </c>
      <c r="D124" s="5">
        <v>13.225</v>
      </c>
      <c r="E124" s="3" t="s">
        <v>25</v>
      </c>
      <c r="F124" s="5">
        <v>23.754999999999999</v>
      </c>
      <c r="G124" s="6">
        <v>3.8</v>
      </c>
      <c r="H124" s="7">
        <v>205</v>
      </c>
      <c r="I124" s="5">
        <v>112.2</v>
      </c>
      <c r="J124" s="5">
        <v>72.599999999999994</v>
      </c>
      <c r="K124" s="5">
        <v>202.5</v>
      </c>
      <c r="L124" s="6">
        <v>3.59</v>
      </c>
      <c r="M124" s="5">
        <v>17.5</v>
      </c>
      <c r="N124" s="6">
        <v>24</v>
      </c>
      <c r="O124" s="8">
        <v>40681</v>
      </c>
      <c r="P124" s="5">
        <v>82.661355599999993</v>
      </c>
    </row>
    <row r="125" spans="1:16" ht="15" customHeight="1" x14ac:dyDescent="0.35">
      <c r="A125" s="4" t="s">
        <v>276</v>
      </c>
      <c r="B125" s="4" t="s">
        <v>287</v>
      </c>
      <c r="C125" s="9">
        <v>39.572000000000003</v>
      </c>
      <c r="D125" s="9"/>
      <c r="E125" s="4" t="s">
        <v>66</v>
      </c>
      <c r="F125" s="9">
        <v>25.635000000000002</v>
      </c>
      <c r="G125" s="10">
        <v>3.4</v>
      </c>
      <c r="H125" s="11">
        <v>185</v>
      </c>
      <c r="I125" s="9">
        <v>120</v>
      </c>
      <c r="J125" s="9">
        <v>72.7</v>
      </c>
      <c r="K125" s="9">
        <v>201.3</v>
      </c>
      <c r="L125" s="10">
        <v>3.9420000000000002</v>
      </c>
      <c r="M125" s="9">
        <v>25</v>
      </c>
      <c r="N125" s="10">
        <v>23</v>
      </c>
      <c r="O125" s="12">
        <v>41112</v>
      </c>
      <c r="P125" s="9">
        <v>76.208439519999999</v>
      </c>
    </row>
    <row r="126" spans="1:16" ht="15" customHeight="1" x14ac:dyDescent="0.35">
      <c r="A126" s="3" t="s">
        <v>288</v>
      </c>
      <c r="B126" s="3" t="s">
        <v>289</v>
      </c>
      <c r="C126" s="5">
        <v>8.9819999999999993</v>
      </c>
      <c r="D126" s="5">
        <v>41.25</v>
      </c>
      <c r="E126" s="3" t="s">
        <v>25</v>
      </c>
      <c r="F126" s="5">
        <v>41.43</v>
      </c>
      <c r="G126" s="6">
        <v>2.7</v>
      </c>
      <c r="H126" s="7">
        <v>217</v>
      </c>
      <c r="I126" s="5">
        <v>95.2</v>
      </c>
      <c r="J126" s="5">
        <v>70.099999999999994</v>
      </c>
      <c r="K126" s="5">
        <v>171</v>
      </c>
      <c r="L126" s="6">
        <v>2.778</v>
      </c>
      <c r="M126" s="5">
        <v>17</v>
      </c>
      <c r="N126" s="6">
        <v>22</v>
      </c>
      <c r="O126" s="8">
        <v>40958</v>
      </c>
      <c r="P126" s="5">
        <v>93.437330700000004</v>
      </c>
    </row>
    <row r="127" spans="1:16" ht="15" customHeight="1" x14ac:dyDescent="0.35">
      <c r="A127" s="4" t="s">
        <v>288</v>
      </c>
      <c r="B127" s="4" t="s">
        <v>291</v>
      </c>
      <c r="C127" s="9">
        <v>1.28</v>
      </c>
      <c r="D127" s="9">
        <v>60.625</v>
      </c>
      <c r="E127" s="4" t="s">
        <v>25</v>
      </c>
      <c r="F127" s="9">
        <v>71.02</v>
      </c>
      <c r="G127" s="10">
        <v>3.4</v>
      </c>
      <c r="H127" s="11">
        <v>300</v>
      </c>
      <c r="I127" s="9">
        <v>92.6</v>
      </c>
      <c r="J127" s="9">
        <v>69.5</v>
      </c>
      <c r="K127" s="9">
        <v>174.5</v>
      </c>
      <c r="L127" s="10">
        <v>3.032</v>
      </c>
      <c r="M127" s="9">
        <v>17</v>
      </c>
      <c r="N127" s="10">
        <v>21</v>
      </c>
      <c r="O127" s="12">
        <v>41264</v>
      </c>
      <c r="P127" s="9">
        <v>134.3909754</v>
      </c>
    </row>
    <row r="128" spans="1:16" ht="15" customHeight="1" x14ac:dyDescent="0.35">
      <c r="A128" s="3" t="s">
        <v>288</v>
      </c>
      <c r="B128" s="3" t="s">
        <v>293</v>
      </c>
      <c r="C128" s="5">
        <v>1.8660000000000001</v>
      </c>
      <c r="D128" s="5">
        <v>67.55</v>
      </c>
      <c r="E128" s="3" t="s">
        <v>25</v>
      </c>
      <c r="F128" s="5">
        <v>74.97</v>
      </c>
      <c r="G128" s="6">
        <v>3.4</v>
      </c>
      <c r="H128" s="7">
        <v>300</v>
      </c>
      <c r="I128" s="5">
        <v>92.6</v>
      </c>
      <c r="J128" s="5">
        <v>69.5</v>
      </c>
      <c r="K128" s="5">
        <v>174.5</v>
      </c>
      <c r="L128" s="6">
        <v>3.0750000000000002</v>
      </c>
      <c r="M128" s="5">
        <v>17</v>
      </c>
      <c r="N128" s="6">
        <v>23</v>
      </c>
      <c r="O128" s="8">
        <v>40735</v>
      </c>
      <c r="P128" s="5">
        <v>135.91470960000001</v>
      </c>
    </row>
    <row r="129" spans="1:16" ht="15" customHeight="1" x14ac:dyDescent="0.35">
      <c r="A129" s="4" t="s">
        <v>295</v>
      </c>
      <c r="B129" s="4" t="s">
        <v>296</v>
      </c>
      <c r="C129" s="9">
        <v>9.1910000000000007</v>
      </c>
      <c r="D129" s="9"/>
      <c r="E129" s="4" t="s">
        <v>25</v>
      </c>
      <c r="F129" s="9">
        <v>33.119999999999997</v>
      </c>
      <c r="G129" s="10">
        <v>2.2999999999999998</v>
      </c>
      <c r="H129" s="11">
        <v>170</v>
      </c>
      <c r="I129" s="9">
        <v>106.4</v>
      </c>
      <c r="J129" s="9">
        <v>70.599999999999994</v>
      </c>
      <c r="K129" s="9">
        <v>189.2</v>
      </c>
      <c r="L129" s="10">
        <v>3.28</v>
      </c>
      <c r="M129" s="9">
        <v>18.5</v>
      </c>
      <c r="N129" s="10">
        <v>23</v>
      </c>
      <c r="O129" s="12">
        <v>41222</v>
      </c>
      <c r="P129" s="9">
        <v>73.503778190000006</v>
      </c>
    </row>
    <row r="130" spans="1:16" ht="15" customHeight="1" x14ac:dyDescent="0.35">
      <c r="A130" s="3" t="s">
        <v>295</v>
      </c>
      <c r="B130" s="3" t="s">
        <v>298</v>
      </c>
      <c r="C130" s="5">
        <v>12.115</v>
      </c>
      <c r="D130" s="5"/>
      <c r="E130" s="3" t="s">
        <v>25</v>
      </c>
      <c r="F130" s="5">
        <v>26.1</v>
      </c>
      <c r="G130" s="6">
        <v>2</v>
      </c>
      <c r="H130" s="7">
        <v>185</v>
      </c>
      <c r="I130" s="5">
        <v>102.6</v>
      </c>
      <c r="J130" s="5">
        <v>67.400000000000006</v>
      </c>
      <c r="K130" s="5">
        <v>182.2</v>
      </c>
      <c r="L130" s="6">
        <v>2.99</v>
      </c>
      <c r="M130" s="5">
        <v>16.899999999999999</v>
      </c>
      <c r="N130" s="6">
        <v>23</v>
      </c>
      <c r="O130" s="8">
        <v>40706</v>
      </c>
      <c r="P130" s="5">
        <v>76.02304771</v>
      </c>
    </row>
    <row r="131" spans="1:16" ht="15" customHeight="1" x14ac:dyDescent="0.35">
      <c r="A131" s="4" t="s">
        <v>300</v>
      </c>
      <c r="B131" s="4" t="s">
        <v>301</v>
      </c>
      <c r="C131" s="9">
        <v>80.62</v>
      </c>
      <c r="D131" s="9">
        <v>9.1999999999999993</v>
      </c>
      <c r="E131" s="4" t="s">
        <v>25</v>
      </c>
      <c r="F131" s="9">
        <v>10.685</v>
      </c>
      <c r="G131" s="10">
        <v>1.9</v>
      </c>
      <c r="H131" s="11">
        <v>100</v>
      </c>
      <c r="I131" s="9">
        <v>102.4</v>
      </c>
      <c r="J131" s="9">
        <v>66.400000000000006</v>
      </c>
      <c r="K131" s="9">
        <v>176.9</v>
      </c>
      <c r="L131" s="10">
        <v>2.3319999999999999</v>
      </c>
      <c r="M131" s="9">
        <v>12.1</v>
      </c>
      <c r="N131" s="10">
        <v>33</v>
      </c>
      <c r="O131" s="12">
        <v>41137</v>
      </c>
      <c r="P131" s="9">
        <v>39.986424749999998</v>
      </c>
    </row>
    <row r="132" spans="1:16" ht="15" customHeight="1" x14ac:dyDescent="0.35">
      <c r="A132" s="3" t="s">
        <v>300</v>
      </c>
      <c r="B132" s="3" t="s">
        <v>302</v>
      </c>
      <c r="C132" s="5">
        <v>24.545999999999999</v>
      </c>
      <c r="D132" s="5">
        <v>10.59</v>
      </c>
      <c r="E132" s="3" t="s">
        <v>25</v>
      </c>
      <c r="F132" s="5">
        <v>12.535</v>
      </c>
      <c r="G132" s="6">
        <v>1.9</v>
      </c>
      <c r="H132" s="7">
        <v>100</v>
      </c>
      <c r="I132" s="5">
        <v>102.4</v>
      </c>
      <c r="J132" s="5">
        <v>66.400000000000006</v>
      </c>
      <c r="K132" s="5">
        <v>180</v>
      </c>
      <c r="L132" s="6">
        <v>2.367</v>
      </c>
      <c r="M132" s="5">
        <v>12.1</v>
      </c>
      <c r="N132" s="6">
        <v>33</v>
      </c>
      <c r="O132" s="8">
        <v>40618</v>
      </c>
      <c r="P132" s="5">
        <v>40.700072419999998</v>
      </c>
    </row>
    <row r="133" spans="1:16" ht="15" customHeight="1" x14ac:dyDescent="0.35">
      <c r="A133" s="4" t="s">
        <v>300</v>
      </c>
      <c r="B133" s="4" t="s">
        <v>304</v>
      </c>
      <c r="C133" s="9">
        <v>5.2229999999999999</v>
      </c>
      <c r="D133" s="9">
        <v>10.79</v>
      </c>
      <c r="E133" s="4" t="s">
        <v>25</v>
      </c>
      <c r="F133" s="9">
        <v>14.29</v>
      </c>
      <c r="G133" s="10">
        <v>1.9</v>
      </c>
      <c r="H133" s="11">
        <v>124</v>
      </c>
      <c r="I133" s="9">
        <v>102.4</v>
      </c>
      <c r="J133" s="9">
        <v>66.400000000000006</v>
      </c>
      <c r="K133" s="9">
        <v>176.9</v>
      </c>
      <c r="L133" s="10">
        <v>2.452</v>
      </c>
      <c r="M133" s="9">
        <v>12.1</v>
      </c>
      <c r="N133" s="10">
        <v>31</v>
      </c>
      <c r="O133" s="12">
        <v>40558</v>
      </c>
      <c r="P133" s="9">
        <v>49.865773670000003</v>
      </c>
    </row>
    <row r="134" spans="1:16" ht="15" customHeight="1" x14ac:dyDescent="0.35">
      <c r="A134" s="3" t="s">
        <v>300</v>
      </c>
      <c r="B134" s="3" t="s">
        <v>306</v>
      </c>
      <c r="C134" s="5">
        <v>8.4719999999999995</v>
      </c>
      <c r="D134" s="5"/>
      <c r="E134" s="3" t="s">
        <v>25</v>
      </c>
      <c r="F134" s="5">
        <v>18.835000000000001</v>
      </c>
      <c r="G134" s="6">
        <v>2.2000000000000002</v>
      </c>
      <c r="H134" s="7">
        <v>137</v>
      </c>
      <c r="I134" s="5">
        <v>106.5</v>
      </c>
      <c r="J134" s="5">
        <v>69</v>
      </c>
      <c r="K134" s="5">
        <v>190.4</v>
      </c>
      <c r="L134" s="6">
        <v>3.0750000000000002</v>
      </c>
      <c r="M134" s="5">
        <v>13.1</v>
      </c>
      <c r="N134" s="6">
        <v>27</v>
      </c>
      <c r="O134" s="8">
        <v>40760</v>
      </c>
      <c r="P134" s="5">
        <v>56.295243040000003</v>
      </c>
    </row>
    <row r="135" spans="1:16" ht="15" customHeight="1" x14ac:dyDescent="0.35">
      <c r="A135" s="4" t="s">
        <v>300</v>
      </c>
      <c r="B135" s="4" t="s">
        <v>308</v>
      </c>
      <c r="C135" s="9">
        <v>49.988999999999997</v>
      </c>
      <c r="D135" s="9"/>
      <c r="E135" s="4" t="s">
        <v>25</v>
      </c>
      <c r="F135" s="9">
        <v>15.01</v>
      </c>
      <c r="G135" s="10">
        <v>2.2000000000000002</v>
      </c>
      <c r="H135" s="11">
        <v>137</v>
      </c>
      <c r="I135" s="9">
        <v>106.5</v>
      </c>
      <c r="J135" s="9">
        <v>69</v>
      </c>
      <c r="K135" s="9">
        <v>190.4</v>
      </c>
      <c r="L135" s="10">
        <v>2.91</v>
      </c>
      <c r="M135" s="9">
        <v>13.1</v>
      </c>
      <c r="N135" s="10">
        <v>28</v>
      </c>
      <c r="O135" s="12">
        <v>41247</v>
      </c>
      <c r="P135" s="9">
        <v>54.819728249999997</v>
      </c>
    </row>
    <row r="136" spans="1:16" ht="15" customHeight="1" x14ac:dyDescent="0.35">
      <c r="A136" s="3" t="s">
        <v>310</v>
      </c>
      <c r="B136" s="3" t="s">
        <v>311</v>
      </c>
      <c r="C136" s="5">
        <v>47.106999999999999</v>
      </c>
      <c r="D136" s="5"/>
      <c r="E136" s="3" t="s">
        <v>25</v>
      </c>
      <c r="F136" s="5">
        <v>22.695</v>
      </c>
      <c r="G136" s="6">
        <v>2.5</v>
      </c>
      <c r="H136" s="7">
        <v>165</v>
      </c>
      <c r="I136" s="5">
        <v>103.5</v>
      </c>
      <c r="J136" s="5">
        <v>67.5</v>
      </c>
      <c r="K136" s="5">
        <v>185.8</v>
      </c>
      <c r="L136" s="6">
        <v>3.415</v>
      </c>
      <c r="M136" s="5">
        <v>16.899999999999999</v>
      </c>
      <c r="N136" s="6">
        <v>25</v>
      </c>
      <c r="O136" s="8">
        <v>40731</v>
      </c>
      <c r="P136" s="5">
        <v>67.765907600000006</v>
      </c>
    </row>
    <row r="137" spans="1:16" ht="15" customHeight="1" x14ac:dyDescent="0.35">
      <c r="A137" s="4" t="s">
        <v>310</v>
      </c>
      <c r="B137" s="4" t="s">
        <v>313</v>
      </c>
      <c r="C137" s="9">
        <v>33.027999999999999</v>
      </c>
      <c r="D137" s="9"/>
      <c r="E137" s="4" t="s">
        <v>66</v>
      </c>
      <c r="F137" s="9">
        <v>20.094999999999999</v>
      </c>
      <c r="G137" s="10">
        <v>2.5</v>
      </c>
      <c r="H137" s="11">
        <v>165</v>
      </c>
      <c r="I137" s="9">
        <v>99.4</v>
      </c>
      <c r="J137" s="9">
        <v>68.3</v>
      </c>
      <c r="K137" s="9">
        <v>175.2</v>
      </c>
      <c r="L137" s="10">
        <v>3.125</v>
      </c>
      <c r="M137" s="9">
        <v>15.9</v>
      </c>
      <c r="N137" s="10">
        <v>24</v>
      </c>
      <c r="O137" s="12">
        <v>41162</v>
      </c>
      <c r="P137" s="9">
        <v>66.762943309999997</v>
      </c>
    </row>
    <row r="138" spans="1:16" ht="15" customHeight="1" x14ac:dyDescent="0.35">
      <c r="A138" s="3" t="s">
        <v>314</v>
      </c>
      <c r="B138" s="3" t="s">
        <v>315</v>
      </c>
      <c r="C138" s="5">
        <v>142.535</v>
      </c>
      <c r="D138" s="5">
        <v>10.025</v>
      </c>
      <c r="E138" s="3" t="s">
        <v>25</v>
      </c>
      <c r="F138" s="5">
        <v>13.108000000000001</v>
      </c>
      <c r="G138" s="6">
        <v>1.8</v>
      </c>
      <c r="H138" s="7">
        <v>120</v>
      </c>
      <c r="I138" s="5">
        <v>97</v>
      </c>
      <c r="J138" s="5">
        <v>66.7</v>
      </c>
      <c r="K138" s="5">
        <v>174</v>
      </c>
      <c r="L138" s="6">
        <v>2.42</v>
      </c>
      <c r="M138" s="5">
        <v>13.2</v>
      </c>
      <c r="N138" s="6">
        <v>33</v>
      </c>
      <c r="O138" s="8">
        <v>40644</v>
      </c>
      <c r="P138" s="5">
        <v>47.96897242</v>
      </c>
    </row>
    <row r="139" spans="1:16" ht="15" customHeight="1" x14ac:dyDescent="0.35">
      <c r="A139" s="4" t="s">
        <v>314</v>
      </c>
      <c r="B139" s="4" t="s">
        <v>316</v>
      </c>
      <c r="C139" s="9">
        <v>247.994</v>
      </c>
      <c r="D139" s="9">
        <v>13.244999999999999</v>
      </c>
      <c r="E139" s="4" t="s">
        <v>25</v>
      </c>
      <c r="F139" s="9">
        <v>17.518000000000001</v>
      </c>
      <c r="G139" s="10">
        <v>2.2000000000000002</v>
      </c>
      <c r="H139" s="11">
        <v>133</v>
      </c>
      <c r="I139" s="9">
        <v>105.2</v>
      </c>
      <c r="J139" s="9">
        <v>70.099999999999994</v>
      </c>
      <c r="K139" s="9">
        <v>188.5</v>
      </c>
      <c r="L139" s="10">
        <v>2.9980000000000002</v>
      </c>
      <c r="M139" s="9">
        <v>18.5</v>
      </c>
      <c r="N139" s="10">
        <v>27</v>
      </c>
      <c r="O139" s="12">
        <v>40584</v>
      </c>
      <c r="P139" s="9">
        <v>54.372419649999998</v>
      </c>
    </row>
    <row r="140" spans="1:16" ht="15" customHeight="1" x14ac:dyDescent="0.35">
      <c r="A140" s="3" t="s">
        <v>314</v>
      </c>
      <c r="B140" s="3" t="s">
        <v>317</v>
      </c>
      <c r="C140" s="5">
        <v>63.848999999999997</v>
      </c>
      <c r="D140" s="5">
        <v>18.14</v>
      </c>
      <c r="E140" s="3" t="s">
        <v>25</v>
      </c>
      <c r="F140" s="5">
        <v>25.545000000000002</v>
      </c>
      <c r="G140" s="6">
        <v>3</v>
      </c>
      <c r="H140" s="7">
        <v>210</v>
      </c>
      <c r="I140" s="5">
        <v>107.1</v>
      </c>
      <c r="J140" s="5">
        <v>71.7</v>
      </c>
      <c r="K140" s="5">
        <v>191.9</v>
      </c>
      <c r="L140" s="6">
        <v>3.4169999999999998</v>
      </c>
      <c r="M140" s="5">
        <v>18.5</v>
      </c>
      <c r="N140" s="6">
        <v>26</v>
      </c>
      <c r="O140" s="8">
        <v>40786</v>
      </c>
      <c r="P140" s="5">
        <v>84.911898260000001</v>
      </c>
    </row>
    <row r="141" spans="1:16" ht="15" customHeight="1" x14ac:dyDescent="0.35">
      <c r="A141" s="4" t="s">
        <v>314</v>
      </c>
      <c r="B141" s="4" t="s">
        <v>318</v>
      </c>
      <c r="C141" s="9">
        <v>33.268999999999998</v>
      </c>
      <c r="D141" s="9">
        <v>15.445</v>
      </c>
      <c r="E141" s="4" t="s">
        <v>25</v>
      </c>
      <c r="F141" s="9">
        <v>16.875</v>
      </c>
      <c r="G141" s="10">
        <v>1.8</v>
      </c>
      <c r="H141" s="11">
        <v>140</v>
      </c>
      <c r="I141" s="9">
        <v>102.4</v>
      </c>
      <c r="J141" s="9">
        <v>68.3</v>
      </c>
      <c r="K141" s="9">
        <v>170.5</v>
      </c>
      <c r="L141" s="10">
        <v>2.4249999999999998</v>
      </c>
      <c r="M141" s="9">
        <v>14.5</v>
      </c>
      <c r="N141" s="10">
        <v>31</v>
      </c>
      <c r="O141" s="12">
        <v>41272</v>
      </c>
      <c r="P141" s="9">
        <v>56.496030339999997</v>
      </c>
    </row>
    <row r="142" spans="1:16" ht="15" customHeight="1" x14ac:dyDescent="0.35">
      <c r="A142" s="3" t="s">
        <v>314</v>
      </c>
      <c r="B142" s="3" t="s">
        <v>320</v>
      </c>
      <c r="C142" s="5">
        <v>84.087000000000003</v>
      </c>
      <c r="D142" s="5">
        <v>9.5749999999999993</v>
      </c>
      <c r="E142" s="3" t="s">
        <v>66</v>
      </c>
      <c r="F142" s="5">
        <v>11.528</v>
      </c>
      <c r="G142" s="6">
        <v>2.4</v>
      </c>
      <c r="H142" s="7">
        <v>142</v>
      </c>
      <c r="I142" s="5">
        <v>103.3</v>
      </c>
      <c r="J142" s="5">
        <v>66.5</v>
      </c>
      <c r="K142" s="5">
        <v>178.7</v>
      </c>
      <c r="L142" s="6">
        <v>2.58</v>
      </c>
      <c r="M142" s="5">
        <v>15.1</v>
      </c>
      <c r="N142" s="6">
        <v>23</v>
      </c>
      <c r="O142" s="8">
        <v>40756</v>
      </c>
      <c r="P142" s="5">
        <v>55.297116580000001</v>
      </c>
    </row>
    <row r="143" spans="1:16" ht="15" customHeight="1" x14ac:dyDescent="0.35">
      <c r="A143" s="4" t="s">
        <v>314</v>
      </c>
      <c r="B143" s="4" t="s">
        <v>322</v>
      </c>
      <c r="C143" s="9">
        <v>65.119</v>
      </c>
      <c r="D143" s="9"/>
      <c r="E143" s="4" t="s">
        <v>66</v>
      </c>
      <c r="F143" s="9">
        <v>22.367999999999999</v>
      </c>
      <c r="G143" s="10">
        <v>3</v>
      </c>
      <c r="H143" s="11">
        <v>194</v>
      </c>
      <c r="I143" s="9">
        <v>114.2</v>
      </c>
      <c r="J143" s="9">
        <v>73.400000000000006</v>
      </c>
      <c r="K143" s="9">
        <v>193.5</v>
      </c>
      <c r="L143" s="10">
        <v>3.7589999999999999</v>
      </c>
      <c r="M143" s="9">
        <v>20.9</v>
      </c>
      <c r="N143" s="10">
        <v>22</v>
      </c>
      <c r="O143" s="12">
        <v>41187</v>
      </c>
      <c r="P143" s="9">
        <v>78.027219470000006</v>
      </c>
    </row>
    <row r="144" spans="1:16" ht="15" customHeight="1" x14ac:dyDescent="0.35">
      <c r="A144" s="3" t="s">
        <v>314</v>
      </c>
      <c r="B144" s="3" t="s">
        <v>323</v>
      </c>
      <c r="C144" s="5">
        <v>25.106000000000002</v>
      </c>
      <c r="D144" s="5">
        <v>13.324999999999999</v>
      </c>
      <c r="E144" s="3" t="s">
        <v>66</v>
      </c>
      <c r="F144" s="5">
        <v>16.888000000000002</v>
      </c>
      <c r="G144" s="6">
        <v>2</v>
      </c>
      <c r="H144" s="7">
        <v>127</v>
      </c>
      <c r="I144" s="5">
        <v>94.9</v>
      </c>
      <c r="J144" s="5">
        <v>66.7</v>
      </c>
      <c r="K144" s="5">
        <v>163.80000000000001</v>
      </c>
      <c r="L144" s="6">
        <v>2.6680000000000001</v>
      </c>
      <c r="M144" s="5">
        <v>15.3</v>
      </c>
      <c r="N144" s="6">
        <v>27</v>
      </c>
      <c r="O144" s="8">
        <v>40669</v>
      </c>
      <c r="P144" s="5">
        <v>51.955108869999997</v>
      </c>
    </row>
    <row r="145" spans="1:16" ht="15" customHeight="1" x14ac:dyDescent="0.35">
      <c r="A145" s="4" t="s">
        <v>314</v>
      </c>
      <c r="B145" s="4" t="s">
        <v>324</v>
      </c>
      <c r="C145" s="9">
        <v>68.411000000000001</v>
      </c>
      <c r="D145" s="9">
        <v>19.425000000000001</v>
      </c>
      <c r="E145" s="4" t="s">
        <v>66</v>
      </c>
      <c r="F145" s="9">
        <v>22.288</v>
      </c>
      <c r="G145" s="10">
        <v>2.7</v>
      </c>
      <c r="H145" s="11">
        <v>150</v>
      </c>
      <c r="I145" s="9">
        <v>105.3</v>
      </c>
      <c r="J145" s="9">
        <v>66.5</v>
      </c>
      <c r="K145" s="9">
        <v>183.3</v>
      </c>
      <c r="L145" s="10">
        <v>3.44</v>
      </c>
      <c r="M145" s="9">
        <v>18.5</v>
      </c>
      <c r="N145" s="10">
        <v>23</v>
      </c>
      <c r="O145" s="12">
        <v>40609</v>
      </c>
      <c r="P145" s="9">
        <v>62.35557713</v>
      </c>
    </row>
    <row r="146" spans="1:16" ht="15" customHeight="1" x14ac:dyDescent="0.35">
      <c r="A146" s="3" t="s">
        <v>314</v>
      </c>
      <c r="B146" s="3" t="s">
        <v>325</v>
      </c>
      <c r="C146" s="5">
        <v>9.8350000000000009</v>
      </c>
      <c r="D146" s="5">
        <v>34.08</v>
      </c>
      <c r="E146" s="3" t="s">
        <v>66</v>
      </c>
      <c r="F146" s="5">
        <v>51.728000000000002</v>
      </c>
      <c r="G146" s="6">
        <v>4.7</v>
      </c>
      <c r="H146" s="7">
        <v>230</v>
      </c>
      <c r="I146" s="5">
        <v>112.2</v>
      </c>
      <c r="J146" s="5">
        <v>76.400000000000006</v>
      </c>
      <c r="K146" s="5">
        <v>192.5</v>
      </c>
      <c r="L146" s="6">
        <v>5.1150000000000002</v>
      </c>
      <c r="M146" s="5">
        <v>25.4</v>
      </c>
      <c r="N146" s="6">
        <v>15</v>
      </c>
      <c r="O146" s="8">
        <v>40811</v>
      </c>
      <c r="P146" s="5">
        <v>102.5289842</v>
      </c>
    </row>
    <row r="147" spans="1:16" ht="15" customHeight="1" x14ac:dyDescent="0.35">
      <c r="A147" s="4" t="s">
        <v>326</v>
      </c>
      <c r="B147" s="4" t="s">
        <v>327</v>
      </c>
      <c r="C147" s="9">
        <v>9.7609999999999992</v>
      </c>
      <c r="D147" s="9">
        <v>11.425000000000001</v>
      </c>
      <c r="E147" s="4" t="s">
        <v>25</v>
      </c>
      <c r="F147" s="9">
        <v>14.9</v>
      </c>
      <c r="G147" s="10">
        <v>2</v>
      </c>
      <c r="H147" s="11">
        <v>115</v>
      </c>
      <c r="I147" s="9">
        <v>98.9</v>
      </c>
      <c r="J147" s="9">
        <v>68.3</v>
      </c>
      <c r="K147" s="9">
        <v>163.30000000000001</v>
      </c>
      <c r="L147" s="10">
        <v>2.7669999999999999</v>
      </c>
      <c r="M147" s="9">
        <v>14.5</v>
      </c>
      <c r="N147" s="10">
        <v>26</v>
      </c>
      <c r="O147" s="12">
        <v>40567</v>
      </c>
      <c r="P147" s="9">
        <v>46.943876760000002</v>
      </c>
    </row>
    <row r="148" spans="1:16" ht="15" customHeight="1" x14ac:dyDescent="0.35">
      <c r="A148" s="3" t="s">
        <v>326</v>
      </c>
      <c r="B148" s="3" t="s">
        <v>328</v>
      </c>
      <c r="C148" s="5">
        <v>83.721000000000004</v>
      </c>
      <c r="D148" s="5">
        <v>13.24</v>
      </c>
      <c r="E148" s="3" t="s">
        <v>25</v>
      </c>
      <c r="F148" s="5">
        <v>16.7</v>
      </c>
      <c r="G148" s="6">
        <v>2</v>
      </c>
      <c r="H148" s="7">
        <v>115</v>
      </c>
      <c r="I148" s="5">
        <v>98.9</v>
      </c>
      <c r="J148" s="5">
        <v>68.3</v>
      </c>
      <c r="K148" s="5">
        <v>172.3</v>
      </c>
      <c r="L148" s="6">
        <v>2.8530000000000002</v>
      </c>
      <c r="M148" s="5">
        <v>14.5</v>
      </c>
      <c r="N148" s="6">
        <v>26</v>
      </c>
      <c r="O148" s="8">
        <v>40782</v>
      </c>
      <c r="P148" s="5">
        <v>47.638236659999997</v>
      </c>
    </row>
    <row r="149" spans="1:16" ht="15" customHeight="1" x14ac:dyDescent="0.35">
      <c r="A149" s="4" t="s">
        <v>326</v>
      </c>
      <c r="B149" s="4" t="s">
        <v>329</v>
      </c>
      <c r="C149" s="9">
        <v>51.101999999999997</v>
      </c>
      <c r="D149" s="9">
        <v>16.725000000000001</v>
      </c>
      <c r="E149" s="4" t="s">
        <v>25</v>
      </c>
      <c r="F149" s="9">
        <v>21.2</v>
      </c>
      <c r="G149" s="10">
        <v>1.8</v>
      </c>
      <c r="H149" s="11">
        <v>150</v>
      </c>
      <c r="I149" s="9">
        <v>106.4</v>
      </c>
      <c r="J149" s="9">
        <v>68.5</v>
      </c>
      <c r="K149" s="9">
        <v>184.1</v>
      </c>
      <c r="L149" s="10">
        <v>3.0430000000000001</v>
      </c>
      <c r="M149" s="9">
        <v>16.399999999999999</v>
      </c>
      <c r="N149" s="10">
        <v>27</v>
      </c>
      <c r="O149" s="12">
        <v>41212</v>
      </c>
      <c r="P149" s="9">
        <v>61.701381359999999</v>
      </c>
    </row>
    <row r="150" spans="1:16" ht="15" customHeight="1" x14ac:dyDescent="0.35">
      <c r="A150" s="3" t="s">
        <v>326</v>
      </c>
      <c r="B150" s="3" t="s">
        <v>330</v>
      </c>
      <c r="C150" s="5">
        <v>9.5690000000000008</v>
      </c>
      <c r="D150" s="5">
        <v>16.574999999999999</v>
      </c>
      <c r="E150" s="3" t="s">
        <v>25</v>
      </c>
      <c r="F150" s="5">
        <v>19.989999999999998</v>
      </c>
      <c r="G150" s="6">
        <v>2</v>
      </c>
      <c r="H150" s="7">
        <v>115</v>
      </c>
      <c r="I150" s="5">
        <v>97.4</v>
      </c>
      <c r="J150" s="5">
        <v>66.7</v>
      </c>
      <c r="K150" s="5">
        <v>160.4</v>
      </c>
      <c r="L150" s="6">
        <v>3.0790000000000002</v>
      </c>
      <c r="M150" s="5">
        <v>13.7</v>
      </c>
      <c r="N150" s="6">
        <v>26</v>
      </c>
      <c r="O150" s="8">
        <v>40694</v>
      </c>
      <c r="P150" s="5">
        <v>48.907372250000002</v>
      </c>
    </row>
    <row r="151" spans="1:16" ht="15" customHeight="1" x14ac:dyDescent="0.35">
      <c r="A151" s="4" t="s">
        <v>326</v>
      </c>
      <c r="B151" s="4" t="s">
        <v>331</v>
      </c>
      <c r="C151" s="9">
        <v>5.5960000000000001</v>
      </c>
      <c r="D151" s="9">
        <v>13.76</v>
      </c>
      <c r="E151" s="4" t="s">
        <v>25</v>
      </c>
      <c r="F151" s="9">
        <v>17.5</v>
      </c>
      <c r="G151" s="10">
        <v>2</v>
      </c>
      <c r="H151" s="11">
        <v>115</v>
      </c>
      <c r="I151" s="9">
        <v>98.9</v>
      </c>
      <c r="J151" s="9">
        <v>68.3</v>
      </c>
      <c r="K151" s="9">
        <v>163.30000000000001</v>
      </c>
      <c r="L151" s="10">
        <v>2.762</v>
      </c>
      <c r="M151" s="9">
        <v>14.6</v>
      </c>
      <c r="N151" s="10">
        <v>26</v>
      </c>
      <c r="O151" s="12">
        <v>40634</v>
      </c>
      <c r="P151" s="9">
        <v>47.946841059999997</v>
      </c>
    </row>
    <row r="152" spans="1:16" ht="15" customHeight="1" x14ac:dyDescent="0.35">
      <c r="A152" s="3" t="s">
        <v>326</v>
      </c>
      <c r="B152" s="3" t="s">
        <v>332</v>
      </c>
      <c r="C152" s="5">
        <v>49.463000000000001</v>
      </c>
      <c r="D152" s="5"/>
      <c r="E152" s="3" t="s">
        <v>25</v>
      </c>
      <c r="F152" s="5">
        <v>15.9</v>
      </c>
      <c r="G152" s="6">
        <v>2</v>
      </c>
      <c r="H152" s="7">
        <v>115</v>
      </c>
      <c r="I152" s="5">
        <v>98.9</v>
      </c>
      <c r="J152" s="5">
        <v>67.900000000000006</v>
      </c>
      <c r="K152" s="5">
        <v>161.1</v>
      </c>
      <c r="L152" s="6">
        <v>2.7690000000000001</v>
      </c>
      <c r="M152" s="5">
        <v>14.5</v>
      </c>
      <c r="N152" s="6">
        <v>26</v>
      </c>
      <c r="O152" s="8">
        <v>40836</v>
      </c>
      <c r="P152" s="5">
        <v>47.329632259999997</v>
      </c>
    </row>
    <row r="153" spans="1:16" ht="15" customHeight="1" x14ac:dyDescent="0.35">
      <c r="A153" s="4" t="s">
        <v>334</v>
      </c>
      <c r="B153" s="4" t="s">
        <v>335</v>
      </c>
      <c r="C153" s="9">
        <v>16.957000000000001</v>
      </c>
      <c r="D153" s="9"/>
      <c r="E153" s="4" t="s">
        <v>25</v>
      </c>
      <c r="F153" s="9">
        <v>23.4</v>
      </c>
      <c r="G153" s="10">
        <v>1.9</v>
      </c>
      <c r="H153" s="11">
        <v>160</v>
      </c>
      <c r="I153" s="9">
        <v>100.5</v>
      </c>
      <c r="J153" s="9">
        <v>67.599999999999994</v>
      </c>
      <c r="K153" s="9">
        <v>176.6</v>
      </c>
      <c r="L153" s="10">
        <v>2.9980000000000002</v>
      </c>
      <c r="M153" s="9">
        <v>15.8</v>
      </c>
      <c r="N153" s="10">
        <v>25</v>
      </c>
      <c r="O153" s="12">
        <v>40592</v>
      </c>
      <c r="P153" s="9">
        <v>66.113056799999995</v>
      </c>
    </row>
    <row r="154" spans="1:16" ht="15" customHeight="1" x14ac:dyDescent="0.35">
      <c r="A154" s="3" t="s">
        <v>334</v>
      </c>
      <c r="B154" s="3" t="s">
        <v>336</v>
      </c>
      <c r="C154" s="5">
        <v>3.5449999999999999</v>
      </c>
      <c r="D154" s="5"/>
      <c r="E154" s="3" t="s">
        <v>25</v>
      </c>
      <c r="F154" s="5">
        <v>24.4</v>
      </c>
      <c r="G154" s="6">
        <v>1.9</v>
      </c>
      <c r="H154" s="7">
        <v>160</v>
      </c>
      <c r="I154" s="5">
        <v>100.5</v>
      </c>
      <c r="J154" s="5">
        <v>67.599999999999994</v>
      </c>
      <c r="K154" s="5">
        <v>176.6</v>
      </c>
      <c r="L154" s="6">
        <v>3.0419999999999998</v>
      </c>
      <c r="M154" s="5">
        <v>15.8</v>
      </c>
      <c r="N154" s="6">
        <v>25</v>
      </c>
      <c r="O154" s="8">
        <v>40807</v>
      </c>
      <c r="P154" s="5">
        <v>66.498812299999997</v>
      </c>
    </row>
    <row r="155" spans="1:16" ht="15" customHeight="1" x14ac:dyDescent="0.35">
      <c r="A155" s="4" t="s">
        <v>334</v>
      </c>
      <c r="B155" s="4" t="s">
        <v>337</v>
      </c>
      <c r="C155" s="9">
        <v>15.244999999999999</v>
      </c>
      <c r="D155" s="9"/>
      <c r="E155" s="4" t="s">
        <v>25</v>
      </c>
      <c r="F155" s="9">
        <v>27.5</v>
      </c>
      <c r="G155" s="10">
        <v>2.4</v>
      </c>
      <c r="H155" s="11">
        <v>168</v>
      </c>
      <c r="I155" s="9">
        <v>104.9</v>
      </c>
      <c r="J155" s="9">
        <v>69.3</v>
      </c>
      <c r="K155" s="9">
        <v>185.9</v>
      </c>
      <c r="L155" s="10">
        <v>3.2080000000000002</v>
      </c>
      <c r="M155" s="9">
        <v>17.899999999999999</v>
      </c>
      <c r="N155" s="10">
        <v>25</v>
      </c>
      <c r="O155" s="12">
        <v>41237</v>
      </c>
      <c r="P155" s="9">
        <v>70.654495449999999</v>
      </c>
    </row>
    <row r="156" spans="1:16" ht="15" customHeight="1" x14ac:dyDescent="0.35">
      <c r="A156" s="3" t="s">
        <v>334</v>
      </c>
      <c r="B156" s="3" t="s">
        <v>338</v>
      </c>
      <c r="C156" s="5">
        <v>17.530999999999999</v>
      </c>
      <c r="D156" s="5"/>
      <c r="E156" s="3" t="s">
        <v>25</v>
      </c>
      <c r="F156" s="5">
        <v>28.8</v>
      </c>
      <c r="G156" s="6">
        <v>2.4</v>
      </c>
      <c r="H156" s="7">
        <v>168</v>
      </c>
      <c r="I156" s="5">
        <v>104.9</v>
      </c>
      <c r="J156" s="5">
        <v>69.3</v>
      </c>
      <c r="K156" s="5">
        <v>186.2</v>
      </c>
      <c r="L156" s="6">
        <v>3.2589999999999999</v>
      </c>
      <c r="M156" s="5">
        <v>17.899999999999999</v>
      </c>
      <c r="N156" s="6">
        <v>25</v>
      </c>
      <c r="O156" s="8">
        <v>40719</v>
      </c>
      <c r="P156" s="5">
        <v>71.1559776</v>
      </c>
    </row>
    <row r="157" spans="1:16" ht="15" customHeight="1" x14ac:dyDescent="0.35">
      <c r="A157" s="4" t="s">
        <v>334</v>
      </c>
      <c r="B157" s="4" t="s">
        <v>339</v>
      </c>
      <c r="C157" s="9">
        <v>3.4929999999999999</v>
      </c>
      <c r="D157" s="9"/>
      <c r="E157" s="4" t="s">
        <v>25</v>
      </c>
      <c r="F157" s="9">
        <v>45.5</v>
      </c>
      <c r="G157" s="10">
        <v>2.2999999999999998</v>
      </c>
      <c r="H157" s="11">
        <v>236</v>
      </c>
      <c r="I157" s="9">
        <v>104.9</v>
      </c>
      <c r="J157" s="9">
        <v>71.5</v>
      </c>
      <c r="K157" s="9">
        <v>185.7</v>
      </c>
      <c r="L157" s="10">
        <v>3.601</v>
      </c>
      <c r="M157" s="9">
        <v>18.5</v>
      </c>
      <c r="N157" s="10">
        <v>23</v>
      </c>
      <c r="O157" s="12">
        <v>40659</v>
      </c>
      <c r="P157" s="9">
        <v>101.6233572</v>
      </c>
    </row>
    <row r="158" spans="1:16" ht="15" customHeight="1" x14ac:dyDescent="0.35">
      <c r="A158" s="3" t="s">
        <v>334</v>
      </c>
      <c r="B158" s="3" t="s">
        <v>340</v>
      </c>
      <c r="C158" s="5">
        <v>18.969000000000001</v>
      </c>
      <c r="D158" s="5"/>
      <c r="E158" s="3" t="s">
        <v>25</v>
      </c>
      <c r="F158" s="5">
        <v>36</v>
      </c>
      <c r="G158" s="6">
        <v>2.9</v>
      </c>
      <c r="H158" s="7">
        <v>201</v>
      </c>
      <c r="I158" s="5">
        <v>109.9</v>
      </c>
      <c r="J158" s="5">
        <v>72.099999999999994</v>
      </c>
      <c r="K158" s="5">
        <v>189.8</v>
      </c>
      <c r="L158" s="6">
        <v>3.6</v>
      </c>
      <c r="M158" s="5">
        <v>21.1</v>
      </c>
      <c r="N158" s="6">
        <v>24</v>
      </c>
      <c r="O158" s="8">
        <v>40861</v>
      </c>
      <c r="P158" s="5">
        <v>85.735654510000003</v>
      </c>
    </row>
    <row r="160" spans="1:16" ht="15" customHeight="1" x14ac:dyDescent="0.35">
      <c r="A160" s="34"/>
    </row>
  </sheetData>
  <autoFilter ref="A1:P15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R32"/>
  <sheetViews>
    <sheetView showGridLines="0" zoomScaleNormal="100" workbookViewId="0"/>
  </sheetViews>
  <sheetFormatPr defaultColWidth="8.6328125" defaultRowHeight="14.5" x14ac:dyDescent="0.35"/>
  <cols>
    <col min="1" max="1" width="18" customWidth="1"/>
    <col min="2" max="2" width="20" customWidth="1"/>
    <col min="4" max="4" width="16" customWidth="1"/>
    <col min="5" max="5" width="18" customWidth="1"/>
    <col min="7" max="9" width="16" customWidth="1"/>
    <col min="11" max="12" width="16" customWidth="1"/>
    <col min="14" max="14" width="16" customWidth="1"/>
    <col min="15" max="15" width="18" customWidth="1"/>
    <col min="17" max="17" width="24" customWidth="1"/>
    <col min="18" max="18" width="14" customWidth="1"/>
  </cols>
  <sheetData>
    <row r="1" spans="1:18" ht="15.75" customHeight="1" x14ac:dyDescent="0.35">
      <c r="A1" s="16" t="s">
        <v>341</v>
      </c>
      <c r="D1" s="16" t="s">
        <v>342</v>
      </c>
      <c r="G1" s="16" t="s">
        <v>343</v>
      </c>
      <c r="K1" s="16" t="s">
        <v>344</v>
      </c>
      <c r="N1" s="16" t="s">
        <v>345</v>
      </c>
      <c r="Q1" s="16" t="s">
        <v>346</v>
      </c>
    </row>
    <row r="2" spans="1:18" ht="15" customHeight="1" x14ac:dyDescent="0.35">
      <c r="A2" s="17" t="s">
        <v>7</v>
      </c>
      <c r="B2" s="17" t="s">
        <v>347</v>
      </c>
      <c r="D2" s="17" t="s">
        <v>348</v>
      </c>
      <c r="E2" s="17" t="s">
        <v>349</v>
      </c>
      <c r="G2" s="17" t="s">
        <v>7</v>
      </c>
      <c r="H2" s="17" t="s">
        <v>8</v>
      </c>
      <c r="I2" s="17" t="s">
        <v>350</v>
      </c>
      <c r="K2" s="17" t="s">
        <v>348</v>
      </c>
      <c r="L2" s="17" t="s">
        <v>351</v>
      </c>
      <c r="N2" s="17" t="s">
        <v>348</v>
      </c>
      <c r="O2" s="17" t="s">
        <v>347</v>
      </c>
      <c r="Q2" s="18" t="s">
        <v>352</v>
      </c>
      <c r="R2" s="18" t="s">
        <v>353</v>
      </c>
    </row>
    <row r="3" spans="1:18" ht="15" customHeight="1" x14ac:dyDescent="0.35">
      <c r="A3" s="19" t="s">
        <v>125</v>
      </c>
      <c r="B3" s="20">
        <f>SUMIFS(Cleaned_Data!$C$2:$C$158,Cleaned_Data!$A$2:$A$158,A3)</f>
        <v>2022.6350000000002</v>
      </c>
      <c r="D3" s="1" t="s">
        <v>66</v>
      </c>
      <c r="E3" s="21">
        <f>AVERAGEIFS(Cleaned_Data!$F$2:$F$158,Cleaned_Data!$E$2:$E$158,D3)</f>
        <v>26.265146341463417</v>
      </c>
      <c r="G3" s="19" t="s">
        <v>125</v>
      </c>
      <c r="H3" s="19" t="s">
        <v>146</v>
      </c>
      <c r="I3" s="20">
        <f>SUMIFS(Cleaned_Data!$C$2:$C$158,Cleaned_Data!$A$2:$A$158,G3,Cleaned_Data!$B$2:$B$158,H3)</f>
        <v>540.56100000000004</v>
      </c>
      <c r="K3" s="1" t="s">
        <v>66</v>
      </c>
      <c r="L3" s="22">
        <f>AVERAGEIFS(Cleaned_Data!$H$2:$H$158,Cleaned_Data!$E$2:$E$158,K3)</f>
        <v>186.36585365853659</v>
      </c>
      <c r="N3" s="1" t="s">
        <v>25</v>
      </c>
      <c r="O3" s="22">
        <f>SUMIFS(Cleaned_Data!$C$2:$C$158,Cleaned_Data!$E$2:$E$158,N3)</f>
        <v>5015.1840000000002</v>
      </c>
      <c r="Q3" s="1" t="s">
        <v>347</v>
      </c>
      <c r="R3" s="22">
        <f>SUM(Cleaned_Data!$C$2:$C$158)</f>
        <v>8320.6980000000003</v>
      </c>
    </row>
    <row r="4" spans="1:18" ht="15" customHeight="1" x14ac:dyDescent="0.35">
      <c r="A4" s="1" t="s">
        <v>102</v>
      </c>
      <c r="B4" s="22">
        <f>SUMIFS(Cleaned_Data!$C$2:$C$158,Cleaned_Data!$A$2:$A$158,A4)</f>
        <v>910.149</v>
      </c>
      <c r="D4" s="1" t="s">
        <v>25</v>
      </c>
      <c r="E4" s="21">
        <f>AVERAGEIFS(Cleaned_Data!$F$2:$F$158,Cleaned_Data!$E$2:$E$158,D4)</f>
        <v>27.719508620689648</v>
      </c>
      <c r="G4" s="1" t="s">
        <v>125</v>
      </c>
      <c r="H4" s="1" t="s">
        <v>138</v>
      </c>
      <c r="I4" s="22">
        <f>SUMIFS(Cleaned_Data!$C$2:$C$158,Cleaned_Data!$A$2:$A$158,G4,Cleaned_Data!$B$2:$B$158,H4)</f>
        <v>276.74700000000001</v>
      </c>
      <c r="K4" s="1" t="s">
        <v>25</v>
      </c>
      <c r="L4" s="22">
        <f>AVERAGEIFS(Cleaned_Data!$H$2:$H$158,Cleaned_Data!$E$2:$E$158,K4)</f>
        <v>185.79310344827587</v>
      </c>
      <c r="N4" s="1" t="s">
        <v>66</v>
      </c>
      <c r="O4" s="22">
        <f>SUMIFS(Cleaned_Data!$C$2:$C$158,Cleaned_Data!$E$2:$E$158,N4)</f>
        <v>3305.5140000000006</v>
      </c>
      <c r="Q4" s="1" t="s">
        <v>354</v>
      </c>
      <c r="R4" s="21">
        <f>AVERAGE(Cleaned_Data!$F$2:$F$158)</f>
        <v>27.339707006369402</v>
      </c>
    </row>
    <row r="5" spans="1:18" ht="15" customHeight="1" x14ac:dyDescent="0.35">
      <c r="A5" s="19" t="s">
        <v>314</v>
      </c>
      <c r="B5" s="20">
        <f>SUMIFS(Cleaned_Data!$C$2:$C$158,Cleaned_Data!$A$2:$A$158,A5)</f>
        <v>740.20500000000015</v>
      </c>
      <c r="G5" s="19" t="s">
        <v>314</v>
      </c>
      <c r="H5" s="19" t="s">
        <v>316</v>
      </c>
      <c r="I5" s="20">
        <f>SUMIFS(Cleaned_Data!$C$2:$C$158,Cleaned_Data!$A$2:$A$158,G5,Cleaned_Data!$B$2:$B$158,H5)</f>
        <v>247.994</v>
      </c>
      <c r="Q5" s="1" t="s">
        <v>355</v>
      </c>
      <c r="R5" s="22">
        <f>AVERAGE(Cleaned_Data!$H$2:$H$158)</f>
        <v>185.94267515923568</v>
      </c>
    </row>
    <row r="6" spans="1:18" ht="15" customHeight="1" x14ac:dyDescent="0.35">
      <c r="A6" s="1" t="s">
        <v>148</v>
      </c>
      <c r="B6" s="22">
        <f>SUMIFS(Cleaned_Data!$C$2:$C$158,Cleaned_Data!$A$2:$A$158,A6)</f>
        <v>592.67399999999998</v>
      </c>
      <c r="G6" s="1" t="s">
        <v>125</v>
      </c>
      <c r="H6" s="1" t="s">
        <v>132</v>
      </c>
      <c r="I6" s="22">
        <f>SUMIFS(Cleaned_Data!$C$2:$C$158,Cleaned_Data!$A$2:$A$158,G6,Cleaned_Data!$B$2:$B$158,H6)</f>
        <v>245.815</v>
      </c>
      <c r="Q6" s="1" t="s">
        <v>356</v>
      </c>
      <c r="R6" s="23">
        <f>COUNTA(Cleaned_Data!$B$2:$B$158)</f>
        <v>157</v>
      </c>
    </row>
    <row r="7" spans="1:18" ht="15" customHeight="1" x14ac:dyDescent="0.35">
      <c r="A7" s="19" t="s">
        <v>68</v>
      </c>
      <c r="B7" s="20">
        <f>SUMIFS(Cleaned_Data!$C$2:$C$158,Cleaned_Data!$A$2:$A$158,A7)</f>
        <v>554.36500000000001</v>
      </c>
      <c r="G7" s="19" t="s">
        <v>148</v>
      </c>
      <c r="H7" s="19" t="s">
        <v>151</v>
      </c>
      <c r="I7" s="20">
        <f>SUMIFS(Cleaned_Data!$C$2:$C$158,Cleaned_Data!$A$2:$A$158,G7,Cleaned_Data!$B$2:$B$158,H7)</f>
        <v>230.90199999999999</v>
      </c>
      <c r="Q7" s="1" t="s">
        <v>357</v>
      </c>
      <c r="R7" s="23">
        <f>COUNTA(A3:A32)</f>
        <v>30</v>
      </c>
    </row>
    <row r="8" spans="1:18" ht="15" customHeight="1" x14ac:dyDescent="0.35">
      <c r="A8" s="1" t="s">
        <v>243</v>
      </c>
      <c r="B8" s="22">
        <f>SUMIFS(Cleaned_Data!$C$2:$C$158,Cleaned_Data!$A$2:$A$158,A8)</f>
        <v>399.63499999999999</v>
      </c>
      <c r="G8" s="1" t="s">
        <v>102</v>
      </c>
      <c r="H8" s="1" t="s">
        <v>113</v>
      </c>
      <c r="I8" s="22">
        <f>SUMIFS(Cleaned_Data!$C$2:$C$158,Cleaned_Data!$A$2:$A$158,G8,Cleaned_Data!$B$2:$B$158,H8)</f>
        <v>227.06100000000001</v>
      </c>
    </row>
    <row r="9" spans="1:18" ht="15" customHeight="1" x14ac:dyDescent="0.35">
      <c r="A9" s="19" t="s">
        <v>276</v>
      </c>
      <c r="B9" s="20">
        <f>SUMIFS(Cleaned_Data!$C$2:$C$158,Cleaned_Data!$A$2:$A$158,A9)</f>
        <v>370.53400000000005</v>
      </c>
      <c r="G9" s="19" t="s">
        <v>125</v>
      </c>
      <c r="H9" s="19" t="s">
        <v>144</v>
      </c>
      <c r="I9" s="20">
        <f>SUMIFS(Cleaned_Data!$C$2:$C$158,Cleaned_Data!$A$2:$A$158,G9,Cleaned_Data!$B$2:$B$158,H9)</f>
        <v>220.65</v>
      </c>
    </row>
    <row r="10" spans="1:18" ht="15" customHeight="1" x14ac:dyDescent="0.35">
      <c r="A10" s="1" t="s">
        <v>172</v>
      </c>
      <c r="B10" s="22">
        <f>SUMIFS(Cleaned_Data!$C$2:$C$158,Cleaned_Data!$A$2:$A$158,A10)</f>
        <v>293.15300000000002</v>
      </c>
      <c r="G10" s="1" t="s">
        <v>148</v>
      </c>
      <c r="H10" s="1" t="s">
        <v>149</v>
      </c>
      <c r="I10" s="22">
        <f>SUMIFS(Cleaned_Data!$C$2:$C$158,Cleaned_Data!$A$2:$A$158,G10,Cleaned_Data!$B$2:$B$158,H10)</f>
        <v>199.685</v>
      </c>
    </row>
    <row r="11" spans="1:18" ht="15" customHeight="1" x14ac:dyDescent="0.35">
      <c r="A11" s="19" t="s">
        <v>47</v>
      </c>
      <c r="B11" s="20">
        <f>SUMIFS(Cleaned_Data!$C$2:$C$158,Cleaned_Data!$A$2:$A$158,A11)</f>
        <v>242.01900000000001</v>
      </c>
      <c r="G11" s="19" t="s">
        <v>102</v>
      </c>
      <c r="H11" s="19" t="s">
        <v>123</v>
      </c>
      <c r="I11" s="20">
        <f>SUMIFS(Cleaned_Data!$C$2:$C$158,Cleaned_Data!$A$2:$A$158,G11,Cleaned_Data!$B$2:$B$158,H11)</f>
        <v>181.749</v>
      </c>
    </row>
    <row r="12" spans="1:18" ht="15" customHeight="1" x14ac:dyDescent="0.35">
      <c r="A12" s="1" t="s">
        <v>212</v>
      </c>
      <c r="B12" s="22">
        <f>SUMIFS(Cleaned_Data!$C$2:$C$158,Cleaned_Data!$A$2:$A$158,A12)</f>
        <v>237.99900000000002</v>
      </c>
      <c r="G12" s="1" t="s">
        <v>125</v>
      </c>
      <c r="H12" s="1" t="s">
        <v>134</v>
      </c>
      <c r="I12" s="22">
        <f>SUMIFS(Cleaned_Data!$C$2:$C$158,Cleaned_Data!$A$2:$A$158,G12,Cleaned_Data!$B$2:$B$158,H12)</f>
        <v>175.67</v>
      </c>
    </row>
    <row r="13" spans="1:18" ht="15" customHeight="1" x14ac:dyDescent="0.35">
      <c r="A13" s="19" t="s">
        <v>326</v>
      </c>
      <c r="B13" s="20">
        <f>SUMIFS(Cleaned_Data!$C$2:$C$158,Cleaned_Data!$A$2:$A$158,A13)</f>
        <v>209.21199999999999</v>
      </c>
    </row>
    <row r="14" spans="1:18" ht="15" customHeight="1" x14ac:dyDescent="0.35">
      <c r="A14" s="1" t="s">
        <v>87</v>
      </c>
      <c r="B14" s="22">
        <f>SUMIFS(Cleaned_Data!$C$2:$C$158,Cleaned_Data!$A$2:$A$158,A14)</f>
        <v>201.721</v>
      </c>
    </row>
    <row r="15" spans="1:18" ht="15" customHeight="1" x14ac:dyDescent="0.35">
      <c r="A15" s="19" t="s">
        <v>198</v>
      </c>
      <c r="B15" s="20">
        <f>SUMIFS(Cleaned_Data!$C$2:$C$158,Cleaned_Data!$A$2:$A$158,A15)</f>
        <v>180.89499999999998</v>
      </c>
    </row>
    <row r="16" spans="1:18" ht="15" customHeight="1" x14ac:dyDescent="0.35">
      <c r="A16" s="1" t="s">
        <v>258</v>
      </c>
      <c r="B16" s="22">
        <f>SUMIFS(Cleaned_Data!$C$2:$C$158,Cleaned_Data!$A$2:$A$158,A16)</f>
        <v>178.98899999999998</v>
      </c>
    </row>
    <row r="17" spans="1:2" ht="15" customHeight="1" x14ac:dyDescent="0.35">
      <c r="A17" s="19" t="s">
        <v>300</v>
      </c>
      <c r="B17" s="20">
        <f>SUMIFS(Cleaned_Data!$C$2:$C$158,Cleaned_Data!$A$2:$A$158,A17)</f>
        <v>168.85</v>
      </c>
    </row>
    <row r="18" spans="1:2" ht="15" customHeight="1" x14ac:dyDescent="0.35">
      <c r="A18" s="1" t="s">
        <v>159</v>
      </c>
      <c r="B18" s="22">
        <f>SUMIFS(Cleaned_Data!$C$2:$C$158,Cleaned_Data!$A$2:$A$158,A18)</f>
        <v>137.32599999999999</v>
      </c>
    </row>
    <row r="19" spans="1:2" ht="15" customHeight="1" x14ac:dyDescent="0.35">
      <c r="A19" s="19" t="s">
        <v>224</v>
      </c>
      <c r="B19" s="20">
        <f>SUMIFS(Cleaned_Data!$C$2:$C$158,Cleaned_Data!$A$2:$A$158,A19)</f>
        <v>117.125</v>
      </c>
    </row>
    <row r="20" spans="1:2" ht="15" customHeight="1" x14ac:dyDescent="0.35">
      <c r="A20" s="1" t="s">
        <v>56</v>
      </c>
      <c r="B20" s="22">
        <f>SUMIFS(Cleaned_Data!$C$2:$C$158,Cleaned_Data!$A$2:$A$158,A20)</f>
        <v>112.178</v>
      </c>
    </row>
    <row r="21" spans="1:2" ht="15" customHeight="1" x14ac:dyDescent="0.35">
      <c r="A21" s="19" t="s">
        <v>179</v>
      </c>
      <c r="B21" s="20">
        <f>SUMIFS(Cleaned_Data!$C$2:$C$158,Cleaned_Data!$A$2:$A$158,A21)</f>
        <v>106.84299999999999</v>
      </c>
    </row>
    <row r="22" spans="1:2" ht="15" customHeight="1" x14ac:dyDescent="0.35">
      <c r="A22" s="1" t="s">
        <v>191</v>
      </c>
      <c r="B22" s="22">
        <f>SUMIFS(Cleaned_Data!$C$2:$C$158,Cleaned_Data!$A$2:$A$158,A22)</f>
        <v>85.634</v>
      </c>
    </row>
    <row r="23" spans="1:2" ht="15" customHeight="1" x14ac:dyDescent="0.35">
      <c r="A23" s="19" t="s">
        <v>310</v>
      </c>
      <c r="B23" s="20">
        <f>SUMIFS(Cleaned_Data!$C$2:$C$158,Cleaned_Data!$A$2:$A$158,A23)</f>
        <v>80.134999999999991</v>
      </c>
    </row>
    <row r="24" spans="1:2" ht="15" customHeight="1" x14ac:dyDescent="0.35">
      <c r="A24" s="1" t="s">
        <v>23</v>
      </c>
      <c r="B24" s="22">
        <f>SUMIFS(Cleaned_Data!$C$2:$C$158,Cleaned_Data!$A$2:$A$158,A24)</f>
        <v>79.004999999999995</v>
      </c>
    </row>
    <row r="25" spans="1:2" ht="15" customHeight="1" x14ac:dyDescent="0.35">
      <c r="A25" s="19" t="s">
        <v>334</v>
      </c>
      <c r="B25" s="20">
        <f>SUMIFS(Cleaned_Data!$C$2:$C$158,Cleaned_Data!$A$2:$A$158,A25)</f>
        <v>75.740000000000009</v>
      </c>
    </row>
    <row r="26" spans="1:2" ht="15" customHeight="1" x14ac:dyDescent="0.35">
      <c r="A26" s="1" t="s">
        <v>270</v>
      </c>
      <c r="B26" s="22">
        <f>SUMIFS(Cleaned_Data!$C$2:$C$158,Cleaned_Data!$A$2:$A$158,A26)</f>
        <v>64.001000000000005</v>
      </c>
    </row>
    <row r="27" spans="1:2" ht="15" customHeight="1" x14ac:dyDescent="0.35">
      <c r="A27" s="19" t="s">
        <v>40</v>
      </c>
      <c r="B27" s="20">
        <f>SUMIFS(Cleaned_Data!$C$2:$C$158,Cleaned_Data!$A$2:$A$158,A27)</f>
        <v>46.505000000000003</v>
      </c>
    </row>
    <row r="28" spans="1:2" ht="15" customHeight="1" x14ac:dyDescent="0.35">
      <c r="A28" s="1" t="s">
        <v>33</v>
      </c>
      <c r="B28" s="22">
        <f>SUMIFS(Cleaned_Data!$C$2:$C$158,Cleaned_Data!$A$2:$A$158,A28)</f>
        <v>40.557000000000002</v>
      </c>
    </row>
    <row r="29" spans="1:2" ht="15" customHeight="1" x14ac:dyDescent="0.35">
      <c r="A29" s="19" t="s">
        <v>166</v>
      </c>
      <c r="B29" s="20">
        <f>SUMIFS(Cleaned_Data!$C$2:$C$158,Cleaned_Data!$A$2:$A$158,A29)</f>
        <v>23.713000000000001</v>
      </c>
    </row>
    <row r="30" spans="1:2" ht="15" customHeight="1" x14ac:dyDescent="0.35">
      <c r="A30" s="1" t="s">
        <v>295</v>
      </c>
      <c r="B30" s="22">
        <f>SUMIFS(Cleaned_Data!$C$2:$C$158,Cleaned_Data!$A$2:$A$158,A30)</f>
        <v>21.306000000000001</v>
      </c>
    </row>
    <row r="31" spans="1:2" ht="15" customHeight="1" x14ac:dyDescent="0.35">
      <c r="A31" s="19" t="s">
        <v>169</v>
      </c>
      <c r="B31" s="20">
        <f>SUMIFS(Cleaned_Data!$C$2:$C$158,Cleaned_Data!$A$2:$A$158,A31)</f>
        <v>15.467000000000001</v>
      </c>
    </row>
    <row r="32" spans="1:2" ht="15" customHeight="1" x14ac:dyDescent="0.35">
      <c r="A32" s="1" t="s">
        <v>288</v>
      </c>
      <c r="B32" s="22">
        <f>SUMIFS(Cleaned_Data!$C$2:$C$158,Cleaned_Data!$A$2:$A$158,A32)</f>
        <v>12.127999999999998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Raw_Data</vt:lpstr>
      <vt:lpstr>Cleaned_Data</vt:lpstr>
      <vt:lpstr>Analysis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Saajini G</cp:lastModifiedBy>
  <cp:revision>2</cp:revision>
  <dcterms:created xsi:type="dcterms:W3CDTF">2026-07-25T13:33:22Z</dcterms:created>
  <dcterms:modified xsi:type="dcterms:W3CDTF">2026-07-26T15:31:22Z</dcterms:modified>
  <dc:language>en-US</dc:language>
</cp:coreProperties>
</file>